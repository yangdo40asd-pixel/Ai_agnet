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dd3d53887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_스케줄링" sheetId="1" r:id="R7f48892c02bf45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%"/>
    <x:numFmt numFmtId="202" formatCode="yyyy-mm-dd"/>
  </x:numFmts>
  <x:fonts count="16">
    <x:font>
      <x:sz val="11"/>
      <x:name val="Carlito"/>
    </x:font>
    <x:font>
      <x:sz val="9"/>
      <x:color rgb="FF333333"/>
      <x:name val="맑은 고딕"/>
    </x:font>
    <x:font>
      <x:b/>
      <x:sz val="16"/>
      <x:color rgb="FF1F4E79"/>
      <x:name val="맑은 고딕"/>
    </x:font>
    <x:font>
      <x:sz val="10"/>
      <x:color rgb="FF595959"/>
      <x:name val="맑은 고딕"/>
    </x:font>
    <x:font>
      <x:sz val="11"/>
      <x:color rgb="FF000000"/>
      <x:name val="맑은 고딕"/>
    </x:font>
    <x:font>
      <x:b/>
      <x:sz val="10"/>
      <x:color rgb="FF000000"/>
      <x:name val="맑은 고딕"/>
    </x:font>
    <x:font>
      <x:b/>
      <x:sz val="10"/>
      <x:color rgb="FFC00000"/>
      <x:name val="맑은 고딕"/>
    </x:font>
    <x:font>
      <x:b/>
      <x:sz val="9"/>
      <x:color rgb="FF000000"/>
      <x:name val="맑은 고딕"/>
    </x:font>
    <x:font>
      <x:b/>
      <x:sz val="9"/>
      <x:color rgb="FFFFFFFF"/>
      <x:name val="맑은 고딕"/>
    </x:font>
    <x:font>
      <x:sz val="11"/>
      <x:color rgb="FFFF0000"/>
      <x:name val="맑은 고딕"/>
    </x:font>
    <x:font>
      <x:b/>
      <x:sz val="10"/>
      <x:color rgb="FFFFFFFF"/>
      <x:name val="맑은 고딕"/>
    </x:font>
    <x:font>
      <x:sz val="8"/>
      <x:color rgb="FF000000"/>
      <x:name val="맑은 고딕"/>
    </x:font>
    <x:font>
      <x:b/>
      <x:sz val="8"/>
      <x:color rgb="FF000000"/>
      <x:name val="맑은 고딕"/>
    </x:font>
    <x:font>
      <x:sz val="9"/>
      <x:color rgb="FF000000"/>
      <x:name val="맑은 고딕"/>
    </x:font>
    <x:font>
      <x:b/>
      <x:sz val="9"/>
      <x:color rgb="FF1F4E79"/>
      <x:name val="맑은 고딕"/>
    </x:font>
    <x:font>
      <x:b/>
      <x:sz val="9"/>
      <x:color rgb="FF333333"/>
      <x:name val="맑은 고딕"/>
    </x:font>
  </x:fonts>
  <x:fills count="2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D9E1F2"/>
      </x:patternFill>
    </x:fill>
    <x:fill>
      <x:patternFill patternType="solid">
        <x:fgColor rgb="FF1F4E79"/>
      </x:patternFill>
    </x:fill>
    <x:fill>
      <x:patternFill patternType="solid">
        <x:fgColor rgb="FF2E75B6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EEF3F9"/>
      </x:patternFill>
    </x:fill>
    <x:fill>
      <x:patternFill patternType="solid">
        <x:fgColor rgb="FFF7F9FC"/>
      </x:patternFill>
    </x:fill>
    <x:fill>
      <x:patternFill patternType="solid">
        <x:fgColor rgb="FFF2F5F9"/>
      </x:patternFill>
    </x:fill>
    <x:fill>
      <x:patternFill patternType="solid">
        <x:fgColor rgb="FFFDF2F0"/>
      </x:patternFill>
    </x:fill>
    <x:fill>
      <x:patternFill patternType="solid">
        <x:fgColor rgb="FFEEF3F9"/>
      </x:patternFill>
    </x:fill>
    <x:fill>
      <x:patternFill patternType="solid">
        <x:fgColor rgb="FFF7F9FC"/>
      </x:patternFill>
    </x:fill>
    <x:fill>
      <x:patternFill patternType="solid">
        <x:fgColor rgb="FFEEF3F9"/>
      </x:patternFill>
    </x:fill>
    <x:fill>
      <x:patternFill patternType="solid">
        <x:fgColor rgb="FFF7F9FC"/>
      </x:patternFill>
    </x:fill>
    <x:fill>
      <x:patternFill patternType="solid">
        <x:fgColor rgb="FFED7D31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FFFFFF"/>
      </x:patternFill>
    </x:fill>
    <x:fill>
      <x:patternFill patternType="solid">
        <x:fgColor rgb="FFED7D31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</x:fills>
  <x:borders count="19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/>
      <x:diagonal/>
    </x:border>
    <x:border>
      <x:left style="thin">
        <x:color rgb="FFD9D9D9"/>
      </x:left>
      <x:right style="thin">
        <x:color rgb="FFD9D9D9"/>
      </x:right>
      <x:top/>
      <x:bottom/>
      <x:diagonal/>
    </x:border>
    <x:border>
      <x:left style="thin">
        <x:color rgb="FFD9D9D9"/>
      </x:left>
      <x:right style="thin">
        <x:color rgb="FFD9D9D9"/>
      </x:right>
      <x:top/>
      <x:bottom style="thin">
        <x:color rgb="FFD9D9D9"/>
      </x:bottom>
      <x:diagonal/>
    </x:border>
    <x:border>
      <x:left style="thin">
        <x:color rgb="FFD9D9D9"/>
      </x:left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thin">
        <x:color rgb="FFD9D9D9"/>
      </x:top>
      <x:bottom style="thin">
        <x:color rgb="FFD9D9D9"/>
      </x:bottom>
      <x:diagonal/>
    </x:border>
    <x:border>
      <x:left/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B8C6D6"/>
      </x:left>
      <x:right style="thin">
        <x:color rgb="FFB8C6D6"/>
      </x:right>
      <x:top style="thin">
        <x:color rgb="FFB8C6D6"/>
      </x:top>
      <x:bottom style="thin">
        <x:color rgb="FFD9D9D9"/>
      </x:bottom>
      <x:diagonal/>
    </x:border>
    <x:border>
      <x:left style="thin">
        <x:color rgb="FFB8C6D6"/>
      </x:left>
      <x:right style="thin">
        <x:color rgb="FFB8C6D6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B8C6D6"/>
      </x:left>
      <x:right style="thin">
        <x:color rgb="FFB8C6D6"/>
      </x:right>
      <x:top style="thin">
        <x:color rgb="FFD9D9D9"/>
      </x:top>
      <x:bottom style="thin">
        <x:color rgb="FFB8C6D6"/>
      </x:bottom>
      <x:diagonal/>
    </x:border>
    <x:border>
      <x:left style="thin">
        <x:color rgb="FFD1D9E3"/>
      </x:left>
      <x:right style="thin">
        <x:color rgb="FFD1D9E3"/>
      </x:right>
      <x:top style="thin">
        <x:color rgb="FFD1D9E3"/>
      </x:top>
      <x:bottom style="thin">
        <x:color rgb="FFD9D9D9"/>
      </x:bottom>
      <x:diagonal/>
    </x:border>
    <x:border>
      <x:left style="thin">
        <x:color rgb="FFD1D9E3"/>
      </x:left>
      <x:right style="thin">
        <x:color rgb="FFD1D9E3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1D9E3"/>
      </x:left>
      <x:right style="thin">
        <x:color rgb="FFD1D9E3"/>
      </x:right>
      <x:top style="thin">
        <x:color rgb="FFD9D9D9"/>
      </x:top>
      <x:bottom style="thin">
        <x:color rgb="FFD1D9E3"/>
      </x:bottom>
      <x:diagonal/>
    </x:border>
    <x:border>
      <x:left/>
      <x:right style="thin">
        <x:color rgb="FFD9D9D9"/>
      </x:right>
      <x:top style="thin">
        <x:color rgb="FFB8C6D6"/>
      </x:top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B8C6D6"/>
      </x:top>
      <x:bottom style="thin">
        <x:color rgb="FFD9D9D9"/>
      </x:bottom>
      <x:diagonal/>
    </x:border>
    <x:border>
      <x:left style="thin">
        <x:color rgb="FFD9D9D9"/>
      </x:left>
      <x:right/>
      <x:top style="thin">
        <x:color rgb="FFB8C6D6"/>
      </x:top>
      <x:bottom style="thin">
        <x:color rgb="FFD9D9D9"/>
      </x:bottom>
      <x:diagonal/>
    </x:border>
    <x:border>
      <x:left/>
      <x:right/>
      <x:top style="thin">
        <x:color rgb="FFB8C6D6"/>
      </x:top>
      <x:bottom style="thin">
        <x:color rgb="FFD9D9D9"/>
      </x:bottom>
      <x:diagonal/>
    </x:border>
    <x:border>
      <x:left style="thin">
        <x:color rgb="FFD1D9E3"/>
      </x:left>
      <x:right style="thin">
        <x:color rgb="FFD1D9E3"/>
      </x:right>
      <x:top style="thin">
        <x:color rgb="FFD1D9E3"/>
      </x:top>
      <x:bottom style="thin">
        <x:color rgb="FFD1D9E3"/>
      </x:bottom>
      <x:diagonal/>
    </x:border>
  </x:borders>
  <x:cellStyleXfs count="1">
    <x:xf numFmtId="0" fontId="0" fillId="0" borderId="0"/>
  </x:cellStyleXfs>
  <x:cellXfs count="19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5" fillId="2" borderId="0" xfId="0" applyNumberFormat="1" applyFont="1" applyFill="1" applyBorder="1"/>
    <x:xf numFmtId="200" fontId="5" fillId="2" borderId="0" xfId="0" applyNumberFormat="1" applyFont="1" applyFill="1" applyBorder="1"/>
    <x:xf numFmtId="0" fontId="6" fillId="2" borderId="0" xfId="0" applyNumberFormat="1" applyFont="1" applyFill="1" applyBorder="1"/>
    <x:xf numFmtId="200" fontId="6" fillId="2" borderId="0" xfId="0" applyNumberFormat="1" applyFont="1" applyFill="1" applyBorder="1"/>
    <x:xf numFmtId="0" fontId="7" fillId="2" borderId="0" xfId="0" applyNumberFormat="1" applyFont="1" applyFill="1" applyBorder="1"/>
    <x:xf numFmtId="200" fontId="7" fillId="2" borderId="0" xfId="0" applyNumberFormat="1" applyFont="1" applyFill="1" applyBorder="1"/>
    <x:xf numFmtId="0" fontId="1" fillId="3" borderId="0" xfId="0" applyNumberFormat="1" applyFont="1" applyFill="1" applyBorder="1"/>
    <x:xf numFmtId="0" fontId="8" fillId="3" borderId="0" xfId="0" applyNumberFormat="1" applyFont="1" applyFill="1" applyBorder="1"/>
    <x:xf numFmtId="200" fontId="8" fillId="3" borderId="0" xfId="0" applyNumberFormat="1" applyFont="1" applyFill="1" applyBorder="1"/>
    <x:xf numFmtId="200" fontId="8" fillId="3" borderId="0" xfId="0" applyNumberFormat="1" applyFont="1" applyFill="1" applyBorder="1" applyAlignment="1">
      <x:alignment wrapText="0"/>
    </x:xf>
    <x:xf numFmtId="200" fontId="8" fillId="3" borderId="0" xfId="0" applyNumberFormat="1" applyFont="1" applyFill="1" applyBorder="1" applyAlignment="1">
      <x:alignment horizontal="center" wrapText="0"/>
    </x:xf>
    <x:xf numFmtId="200" fontId="8" fillId="3" borderId="0" xfId="0" applyNumberFormat="1" applyFont="1" applyFill="1" applyBorder="1" applyAlignment="1">
      <x:alignment horizontal="center" vertical="center" wrapText="0"/>
    </x:xf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200" fontId="8" fillId="4" borderId="0" xfId="0" applyNumberFormat="1" applyFont="1" applyFill="1" applyBorder="1"/>
    <x:xf numFmtId="200" fontId="8" fillId="4" borderId="0" xfId="0" applyNumberFormat="1" applyFont="1" applyFill="1" applyBorder="1" applyAlignment="1">
      <x:alignment wrapText="0"/>
    </x:xf>
    <x:xf numFmtId="200" fontId="8" fillId="4" borderId="0" xfId="0" applyNumberFormat="1" applyFont="1" applyFill="1" applyBorder="1" applyAlignment="1">
      <x:alignment horizontal="center" wrapText="0"/>
    </x:xf>
    <x:xf numFmtId="200" fontId="8" fillId="4" borderId="0" xfId="0" applyNumberFormat="1" applyFont="1" applyFill="1" applyBorder="1" applyAlignment="1">
      <x:alignment horizontal="center" vertical="center" wrapText="0"/>
    </x:xf>
    <x:xf numFmtId="0" fontId="1" fillId="5" borderId="0" xfId="0" applyNumberFormat="1" applyFont="1" applyFill="1" applyBorder="1"/>
    <x:xf numFmtId="0" fontId="8" fillId="5" borderId="0" xfId="0" applyNumberFormat="1" applyFont="1" applyFill="1" applyBorder="1"/>
    <x:xf numFmtId="200" fontId="8" fillId="5" borderId="0" xfId="0" applyNumberFormat="1" applyFont="1" applyFill="1" applyBorder="1"/>
    <x:xf numFmtId="200" fontId="8" fillId="5" borderId="0" xfId="0" applyNumberFormat="1" applyFont="1" applyFill="1" applyBorder="1" applyAlignment="1">
      <x:alignment wrapText="0"/>
    </x:xf>
    <x:xf numFmtId="200" fontId="8" fillId="5" borderId="0" xfId="0" applyNumberFormat="1" applyFont="1" applyFill="1" applyBorder="1" applyAlignment="1">
      <x:alignment horizontal="center" wrapText="0"/>
    </x:xf>
    <x:xf numFmtId="200" fontId="8" fillId="5" borderId="0" xfId="0" applyNumberFormat="1" applyFont="1" applyFill="1" applyBorder="1" applyAlignment="1">
      <x:alignment horizontal="center" vertical="center" wrapText="0"/>
    </x:xf>
    <x:xf numFmtId="0" fontId="1" fillId="6" borderId="0" xfId="0" applyNumberFormat="1" applyFont="1" applyFill="1" applyBorder="1"/>
    <x:xf numFmtId="0" fontId="7" fillId="6" borderId="0" xfId="0" applyNumberFormat="1" applyFont="1" applyFill="1" applyBorder="1"/>
    <x:xf numFmtId="200" fontId="7" fillId="6" borderId="0" xfId="0" applyNumberFormat="1" applyFont="1" applyFill="1" applyBorder="1"/>
    <x:xf numFmtId="200" fontId="7" fillId="6" borderId="0" xfId="0" applyNumberFormat="1" applyFont="1" applyFill="1" applyBorder="1" applyAlignment="1">
      <x:alignment wrapText="0"/>
    </x:xf>
    <x:xf numFmtId="200" fontId="7" fillId="6" borderId="0" xfId="0" applyNumberFormat="1" applyFont="1" applyFill="1" applyBorder="1" applyAlignment="1">
      <x:alignment horizontal="center" wrapText="0"/>
    </x:xf>
    <x:xf numFmtId="200" fontId="7" fillId="6" borderId="0" xfId="0" applyNumberFormat="1" applyFont="1" applyFill="1" applyBorder="1" applyAlignment="1">
      <x:alignment horizontal="center" vertical="center" wrapText="0"/>
    </x:xf>
    <x:xf numFmtId="200" fontId="9" fillId="2" borderId="0" xfId="0" applyNumberFormat="1" applyFont="1" applyFill="1" applyBorder="1"/>
    <x:xf numFmtId="200" fontId="4" fillId="6" borderId="0" xfId="0" applyNumberFormat="1" applyFont="1" applyFill="1" applyBorder="1"/>
    <x:xf numFmtId="0" fontId="1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200" fontId="8" fillId="7" borderId="1" xfId="0" applyNumberFormat="1" applyFont="1" applyFill="1" applyBorder="1"/>
    <x:xf numFmtId="200" fontId="8" fillId="7" borderId="1" xfId="0" applyNumberFormat="1" applyFont="1" applyFill="1" applyBorder="1" applyAlignment="1">
      <x:alignment wrapText="0"/>
    </x:xf>
    <x:xf numFmtId="200" fontId="8" fillId="7" borderId="1" xfId="0" applyNumberFormat="1" applyFont="1" applyFill="1" applyBorder="1" applyAlignment="1">
      <x:alignment horizontal="center" wrapText="0"/>
    </x:xf>
    <x:xf numFmtId="200" fontId="8" fillId="7" borderId="1" xfId="0" applyNumberFormat="1" applyFont="1" applyFill="1" applyBorder="1" applyAlignment="1">
      <x:alignment horizontal="center" vertical="center" wrapText="0"/>
    </x:xf>
    <x:xf numFmtId="0" fontId="10" fillId="7" borderId="0" xfId="0" applyNumberFormat="1" applyFont="1" applyFill="1" applyBorder="1"/>
    <x:xf numFmtId="200" fontId="10" fillId="7" borderId="0" xfId="0" applyNumberFormat="1" applyFont="1" applyFill="1" applyBorder="1"/>
    <x:xf numFmtId="200" fontId="10" fillId="7" borderId="0" xfId="0" applyNumberFormat="1" applyFont="1" applyFill="1" applyBorder="1" applyAlignment="1">
      <x:alignment wrapText="0"/>
    </x:xf>
    <x:xf numFmtId="200" fontId="10" fillId="7" borderId="0" xfId="0" applyNumberFormat="1" applyFont="1" applyFill="1" applyBorder="1" applyAlignment="1">
      <x:alignment horizontal="center" wrapText="0"/>
    </x:xf>
    <x:xf numFmtId="200" fontId="10" fillId="7" borderId="0" xfId="0" applyNumberFormat="1" applyFont="1" applyFill="1" applyBorder="1" applyAlignment="1">
      <x:alignment horizontal="center" vertical="center" wrapText="0"/>
    </x:xf>
    <x:xf numFmtId="0" fontId="1" fillId="8" borderId="0" xfId="0" applyNumberFormat="1" applyFont="1" applyFill="1" applyBorder="1"/>
    <x:xf numFmtId="0" fontId="8" fillId="8" borderId="0" xfId="0" applyNumberFormat="1" applyFont="1" applyFill="1" applyBorder="1"/>
    <x:xf numFmtId="200" fontId="8" fillId="8" borderId="0" xfId="0" applyNumberFormat="1" applyFont="1" applyFill="1" applyBorder="1"/>
    <x:xf numFmtId="200" fontId="8" fillId="8" borderId="0" xfId="0" applyNumberFormat="1" applyFont="1" applyFill="1" applyBorder="1" applyAlignment="1">
      <x:alignment wrapText="0"/>
    </x:xf>
    <x:xf numFmtId="200" fontId="8" fillId="8" borderId="0" xfId="0" applyNumberFormat="1" applyFont="1" applyFill="1" applyBorder="1" applyAlignment="1">
      <x:alignment horizontal="center" wrapText="0"/>
    </x:xf>
    <x:xf numFmtId="200" fontId="8" fillId="8" borderId="0" xfId="0" applyNumberFormat="1" applyFont="1" applyFill="1" applyBorder="1" applyAlignment="1">
      <x:alignment horizontal="center" vertical="center" wrapText="0"/>
    </x:xf>
    <x:xf numFmtId="0" fontId="1" fillId="9" borderId="0" xfId="0" applyNumberFormat="1" applyFont="1" applyFill="1" applyBorder="1"/>
    <x:xf numFmtId="0" fontId="11" fillId="9" borderId="0" xfId="0" applyNumberFormat="1" applyFont="1" applyFill="1" applyBorder="1"/>
    <x:xf numFmtId="200" fontId="11" fillId="9" borderId="0" xfId="0" applyNumberFormat="1" applyFont="1" applyFill="1" applyBorder="1"/>
    <x:xf numFmtId="200" fontId="11" fillId="9" borderId="0" xfId="0" applyNumberFormat="1" applyFont="1" applyFill="1" applyBorder="1" applyAlignment="1">
      <x:alignment wrapText="1"/>
    </x:xf>
    <x:xf numFmtId="200" fontId="11" fillId="9" borderId="0" xfId="0" applyNumberFormat="1" applyFont="1" applyFill="1" applyBorder="1" applyAlignment="1">
      <x:alignment horizontal="center" wrapText="1"/>
    </x:xf>
    <x:xf numFmtId="200" fontId="11" fillId="9" borderId="0" xfId="0" applyNumberFormat="1" applyFont="1" applyFill="1" applyBorder="1" applyAlignment="1">
      <x:alignment horizontal="center" vertical="center" wrapText="1"/>
    </x:xf>
    <x:xf numFmtId="0" fontId="12" fillId="6" borderId="0" xfId="0" applyNumberFormat="1" applyFont="1" applyFill="1" applyBorder="1"/>
    <x:xf numFmtId="200" fontId="12" fillId="6" borderId="0" xfId="0" applyNumberFormat="1" applyFont="1" applyFill="1" applyBorder="1"/>
    <x:xf numFmtId="200" fontId="12" fillId="6" borderId="0" xfId="0" applyNumberFormat="1" applyFont="1" applyFill="1" applyBorder="1" applyAlignment="1">
      <x:alignment wrapText="1"/>
    </x:xf>
    <x:xf numFmtId="200" fontId="12" fillId="6" borderId="0" xfId="0" applyNumberFormat="1" applyFont="1" applyFill="1" applyBorder="1" applyAlignment="1">
      <x:alignment horizontal="center" wrapText="1"/>
    </x:xf>
    <x:xf numFmtId="200" fontId="12" fillId="6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/>
    <x:xf numFmtId="0" fontId="12" fillId="10" borderId="0" xfId="0" applyNumberFormat="1" applyFont="1" applyFill="1" applyBorder="1"/>
    <x:xf numFmtId="200" fontId="12" fillId="10" borderId="0" xfId="0" applyNumberFormat="1" applyFont="1" applyFill="1" applyBorder="1"/>
    <x:xf numFmtId="200" fontId="12" fillId="10" borderId="0" xfId="0" applyNumberFormat="1" applyFont="1" applyFill="1" applyBorder="1" applyAlignment="1">
      <x:alignment wrapText="1"/>
    </x:xf>
    <x:xf numFmtId="200" fontId="12" fillId="10" borderId="0" xfId="0" applyNumberFormat="1" applyFont="1" applyFill="1" applyBorder="1" applyAlignment="1">
      <x:alignment horizontal="center" wrapText="1"/>
    </x:xf>
    <x:xf numFmtId="200" fontId="12" fillId="10" borderId="0" xfId="0" applyNumberFormat="1" applyFont="1" applyFill="1" applyBorder="1" applyAlignment="1">
      <x:alignment horizontal="center" vertical="center" wrapText="1"/>
    </x:xf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/>
    <x:xf numFmtId="200" fontId="8" fillId="7" borderId="2" xfId="0" applyNumberFormat="1" applyFont="1" applyFill="1" applyBorder="1"/>
    <x:xf numFmtId="200" fontId="8" fillId="7" borderId="3" xfId="0" applyNumberFormat="1" applyFont="1" applyFill="1" applyBorder="1"/>
    <x:xf numFmtId="200" fontId="8" fillId="7" borderId="4" xfId="0" applyNumberFormat="1" applyFont="1" applyFill="1" applyBorder="1"/>
    <x:xf numFmtId="200" fontId="8" fillId="7" borderId="2" xfId="0" applyNumberFormat="1" applyFont="1" applyFill="1" applyBorder="1" applyAlignment="1">
      <x:alignment wrapText="0"/>
    </x:xf>
    <x:xf numFmtId="200" fontId="8" fillId="7" borderId="3" xfId="0" applyNumberFormat="1" applyFont="1" applyFill="1" applyBorder="1" applyAlignment="1">
      <x:alignment wrapText="0"/>
    </x:xf>
    <x:xf numFmtId="200" fontId="8" fillId="7" borderId="4" xfId="0" applyNumberFormat="1" applyFont="1" applyFill="1" applyBorder="1" applyAlignment="1">
      <x:alignment wrapText="0"/>
    </x:xf>
    <x:xf numFmtId="200" fontId="8" fillId="7" borderId="2" xfId="0" applyNumberFormat="1" applyFont="1" applyFill="1" applyBorder="1" applyAlignment="1">
      <x:alignment horizontal="center" wrapText="0"/>
    </x:xf>
    <x:xf numFmtId="200" fontId="8" fillId="7" borderId="3" xfId="0" applyNumberFormat="1" applyFont="1" applyFill="1" applyBorder="1" applyAlignment="1">
      <x:alignment horizontal="center" wrapText="0"/>
    </x:xf>
    <x:xf numFmtId="200" fontId="8" fillId="7" borderId="4" xfId="0" applyNumberFormat="1" applyFont="1" applyFill="1" applyBorder="1" applyAlignment="1">
      <x:alignment horizontal="center" wrapText="0"/>
    </x:xf>
    <x:xf numFmtId="200" fontId="8" fillId="7" borderId="2" xfId="0" applyNumberFormat="1" applyFont="1" applyFill="1" applyBorder="1" applyAlignment="1">
      <x:alignment horizontal="center" vertical="center" wrapText="0"/>
    </x:xf>
    <x:xf numFmtId="200" fontId="8" fillId="7" borderId="3" xfId="0" applyNumberFormat="1" applyFont="1" applyFill="1" applyBorder="1" applyAlignment="1">
      <x:alignment horizontal="center" vertical="center" wrapText="0"/>
    </x:xf>
    <x:xf numFmtId="200" fontId="8" fillId="7" borderId="4" xfId="0" applyNumberFormat="1" applyFont="1" applyFill="1" applyBorder="1" applyAlignment="1">
      <x:alignment horizontal="center" vertical="center" wrapText="0"/>
    </x:xf>
    <x:xf numFmtId="0" fontId="13" fillId="2" borderId="0" xfId="0" applyNumberFormat="1" applyFont="1" applyFill="1" applyBorder="1"/>
    <x:xf numFmtId="0" fontId="13" fillId="2" borderId="1" xfId="0" applyNumberFormat="1" applyFont="1" applyFill="1" applyBorder="1"/>
    <x:xf numFmtId="200" fontId="13" fillId="2" borderId="1" xfId="0" applyNumberFormat="1" applyFont="1" applyFill="1" applyBorder="1"/>
    <x:xf numFmtId="200" fontId="13" fillId="2" borderId="1" xfId="0" applyNumberFormat="1" applyFont="1" applyFill="1" applyBorder="1" applyAlignment="1">
      <x:alignment wrapText="0"/>
    </x:xf>
    <x:xf numFmtId="200" fontId="13" fillId="2" borderId="1" xfId="0" applyNumberFormat="1" applyFont="1" applyFill="1" applyBorder="1" applyAlignment="1">
      <x:alignment horizontal="center" wrapText="0"/>
    </x:xf>
    <x:xf numFmtId="200" fontId="13" fillId="2" borderId="1" xfId="0" applyNumberFormat="1" applyFont="1" applyFill="1" applyBorder="1" applyAlignment="1">
      <x:alignment horizontal="center" vertical="center" wrapText="0"/>
    </x:xf>
    <x:xf numFmtId="0" fontId="13" fillId="2" borderId="5" xfId="0" applyNumberFormat="1" applyFont="1" applyFill="1" applyBorder="1"/>
    <x:xf numFmtId="0" fontId="13" fillId="2" borderId="6" xfId="0" applyNumberFormat="1" applyFont="1" applyFill="1" applyBorder="1"/>
    <x:xf numFmtId="0" fontId="13" fillId="2" borderId="7" xfId="0" applyNumberFormat="1" applyFont="1" applyFill="1" applyBorder="1"/>
    <x:xf numFmtId="200" fontId="13" fillId="2" borderId="5" xfId="0" applyNumberFormat="1" applyFont="1" applyFill="1" applyBorder="1"/>
    <x:xf numFmtId="200" fontId="13" fillId="2" borderId="6" xfId="0" applyNumberFormat="1" applyFont="1" applyFill="1" applyBorder="1"/>
    <x:xf numFmtId="200" fontId="13" fillId="2" borderId="7" xfId="0" applyNumberFormat="1" applyFont="1" applyFill="1" applyBorder="1"/>
    <x:xf numFmtId="200" fontId="13" fillId="2" borderId="5" xfId="0" applyNumberFormat="1" applyFont="1" applyFill="1" applyBorder="1" applyAlignment="1">
      <x:alignment wrapText="0"/>
    </x:xf>
    <x:xf numFmtId="200" fontId="13" fillId="2" borderId="6" xfId="0" applyNumberFormat="1" applyFont="1" applyFill="1" applyBorder="1" applyAlignment="1">
      <x:alignment wrapText="0"/>
    </x:xf>
    <x:xf numFmtId="200" fontId="13" fillId="2" borderId="7" xfId="0" applyNumberFormat="1" applyFont="1" applyFill="1" applyBorder="1" applyAlignment="1">
      <x:alignment wrapText="0"/>
    </x:xf>
    <x:xf numFmtId="200" fontId="13" fillId="2" borderId="5" xfId="0" applyNumberFormat="1" applyFont="1" applyFill="1" applyBorder="1" applyAlignment="1">
      <x:alignment horizontal="left" wrapText="0"/>
    </x:xf>
    <x:xf numFmtId="200" fontId="13" fillId="2" borderId="6" xfId="0" applyNumberFormat="1" applyFont="1" applyFill="1" applyBorder="1" applyAlignment="1">
      <x:alignment horizontal="left" wrapText="0"/>
    </x:xf>
    <x:xf numFmtId="200" fontId="13" fillId="2" borderId="7" xfId="0" applyNumberFormat="1" applyFont="1" applyFill="1" applyBorder="1" applyAlignment="1">
      <x:alignment horizontal="left" wrapText="0"/>
    </x:xf>
    <x:xf numFmtId="200" fontId="13" fillId="2" borderId="5" xfId="0" applyNumberFormat="1" applyFont="1" applyFill="1" applyBorder="1" applyAlignment="1">
      <x:alignment horizontal="left" vertical="center" wrapText="0"/>
    </x:xf>
    <x:xf numFmtId="200" fontId="13" fillId="2" borderId="6" xfId="0" applyNumberFormat="1" applyFont="1" applyFill="1" applyBorder="1" applyAlignment="1">
      <x:alignment horizontal="left" vertical="center" wrapText="0"/>
    </x:xf>
    <x:xf numFmtId="200" fontId="13" fillId="2" borderId="7" xfId="0" applyNumberFormat="1" applyFont="1" applyFill="1" applyBorder="1" applyAlignment="1">
      <x:alignment horizontal="left" vertical="center" wrapText="0"/>
    </x:xf>
    <x:xf numFmtId="200" fontId="13" fillId="2" borderId="1" xfId="0" applyNumberFormat="1" applyFont="1" applyFill="1" applyBorder="1" applyAlignment="1">
      <x:alignment horizontal="right" wrapText="0"/>
    </x:xf>
    <x:xf numFmtId="200" fontId="13" fillId="2" borderId="1" xfId="0" applyNumberFormat="1" applyFont="1" applyFill="1" applyBorder="1" applyAlignment="1">
      <x:alignment horizontal="right" vertical="center" wrapText="0"/>
    </x:xf>
    <x:xf numFmtId="201" fontId="13" fillId="2" borderId="1" xfId="0" applyNumberFormat="1" applyFont="1" applyFill="1" applyBorder="1"/>
    <x:xf numFmtId="201" fontId="13" fillId="2" borderId="1" xfId="0" applyNumberFormat="1" applyFont="1" applyFill="1" applyBorder="1" applyAlignment="1">
      <x:alignment wrapText="0"/>
    </x:xf>
    <x:xf numFmtId="201" fontId="13" fillId="2" borderId="1" xfId="0" applyNumberFormat="1" applyFont="1" applyFill="1" applyBorder="1" applyAlignment="1">
      <x:alignment horizontal="right" wrapText="0"/>
    </x:xf>
    <x:xf numFmtId="201" fontId="13" fillId="2" borderId="1" xfId="0" applyNumberFormat="1" applyFont="1" applyFill="1" applyBorder="1" applyAlignment="1">
      <x:alignment horizontal="right" vertical="center" wrapText="0"/>
    </x:xf>
    <x:xf numFmtId="200" fontId="13" fillId="2" borderId="1" xfId="0" applyNumberFormat="1" applyFont="1" applyFill="1" applyBorder="1" applyAlignment="1">
      <x:alignment horizontal="left" wrapText="0"/>
    </x:xf>
    <x:xf numFmtId="200" fontId="13" fillId="2" borderId="1" xfId="0" applyNumberFormat="1" applyFont="1" applyFill="1" applyBorder="1" applyAlignment="1">
      <x:alignment horizontal="left" vertical="center" wrapText="0"/>
    </x:xf>
    <x:xf numFmtId="0" fontId="4" fillId="2" borderId="5" xfId="0" applyNumberFormat="1" applyFont="1" applyFill="1" applyBorder="1"/>
    <x:xf numFmtId="0" fontId="4" fillId="2" borderId="6" xfId="0" applyNumberFormat="1" applyFont="1" applyFill="1" applyBorder="1"/>
    <x:xf numFmtId="0" fontId="4" fillId="2" borderId="7" xfId="0" applyNumberFormat="1" applyFont="1" applyFill="1" applyBorder="1"/>
    <x:xf numFmtId="200" fontId="4" fillId="2" borderId="5" xfId="0" applyNumberFormat="1" applyFont="1" applyFill="1" applyBorder="1"/>
    <x:xf numFmtId="200" fontId="4" fillId="2" borderId="6" xfId="0" applyNumberFormat="1" applyFont="1" applyFill="1" applyBorder="1"/>
    <x:xf numFmtId="200" fontId="4" fillId="2" borderId="7" xfId="0" applyNumberFormat="1" applyFont="1" applyFill="1" applyBorder="1"/>
    <x:xf numFmtId="202" fontId="13" fillId="2" borderId="1" xfId="0" applyNumberFormat="1" applyFont="1" applyFill="1" applyBorder="1" applyAlignment="1">
      <x:alignment horizontal="center" vertical="center" wrapText="0"/>
    </x:xf>
    <x:xf numFmtId="200" fontId="13" fillId="11" borderId="5" xfId="0" applyNumberFormat="1" applyFont="1" applyFill="1" applyBorder="1" applyAlignment="1">
      <x:alignment horizontal="left" vertical="center" wrapText="0"/>
    </x:xf>
    <x:xf numFmtId="200" fontId="14" fillId="11" borderId="5" xfId="0" applyNumberFormat="1" applyFont="1" applyFill="1" applyBorder="1" applyAlignment="1">
      <x:alignment horizontal="left" vertical="center" wrapText="0"/>
    </x:xf>
    <x:xf numFmtId="200" fontId="14" fillId="11" borderId="8" xfId="0" applyNumberFormat="1" applyFont="1" applyFill="1" applyBorder="1" applyAlignment="1">
      <x:alignment horizontal="left" vertical="center" wrapText="0"/>
    </x:xf>
    <x:xf numFmtId="200" fontId="14" fillId="11" borderId="9" xfId="0" applyNumberFormat="1" applyFont="1" applyFill="1" applyBorder="1" applyAlignment="1">
      <x:alignment horizontal="left" vertical="center" wrapText="0"/>
    </x:xf>
    <x:xf numFmtId="200" fontId="14" fillId="11" borderId="10" xfId="0" applyNumberFormat="1" applyFont="1" applyFill="1" applyBorder="1" applyAlignment="1">
      <x:alignment horizontal="left" vertical="center" wrapText="0"/>
    </x:xf>
    <x:xf numFmtId="200" fontId="14" fillId="11" borderId="8" xfId="0" applyNumberFormat="1" applyFont="1" applyFill="1" applyBorder="1" applyAlignment="1">
      <x:alignment horizontal="left" vertical="center" wrapText="1"/>
    </x:xf>
    <x:xf numFmtId="200" fontId="14" fillId="11" borderId="9" xfId="0" applyNumberFormat="1" applyFont="1" applyFill="1" applyBorder="1" applyAlignment="1">
      <x:alignment horizontal="left" vertical="center" wrapText="1"/>
    </x:xf>
    <x:xf numFmtId="200" fontId="14" fillId="11" borderId="10" xfId="0" applyNumberFormat="1" applyFont="1" applyFill="1" applyBorder="1" applyAlignment="1">
      <x:alignment horizontal="left" vertical="center" wrapText="1"/>
    </x:xf>
    <x:xf numFmtId="200" fontId="13" fillId="12" borderId="6" xfId="0" applyNumberFormat="1" applyFont="1" applyFill="1" applyBorder="1" applyAlignment="1">
      <x:alignment horizontal="left" vertical="center" wrapText="0"/>
    </x:xf>
    <x:xf numFmtId="200" fontId="15" fillId="12" borderId="6" xfId="0" applyNumberFormat="1" applyFont="1" applyFill="1" applyBorder="1" applyAlignment="1">
      <x:alignment horizontal="left" vertical="center" wrapText="0"/>
    </x:xf>
    <x:xf numFmtId="200" fontId="15" fillId="12" borderId="11" xfId="0" applyNumberFormat="1" applyFont="1" applyFill="1" applyBorder="1" applyAlignment="1">
      <x:alignment horizontal="left" vertical="center" wrapText="0"/>
    </x:xf>
    <x:xf numFmtId="200" fontId="15" fillId="12" borderId="12" xfId="0" applyNumberFormat="1" applyFont="1" applyFill="1" applyBorder="1" applyAlignment="1">
      <x:alignment horizontal="left" vertical="center" wrapText="0"/>
    </x:xf>
    <x:xf numFmtId="200" fontId="15" fillId="12" borderId="13" xfId="0" applyNumberFormat="1" applyFont="1" applyFill="1" applyBorder="1" applyAlignment="1">
      <x:alignment horizontal="left" vertical="center" wrapText="0"/>
    </x:xf>
    <x:xf numFmtId="200" fontId="15" fillId="12" borderId="11" xfId="0" applyNumberFormat="1" applyFont="1" applyFill="1" applyBorder="1" applyAlignment="1">
      <x:alignment horizontal="left" vertical="center" wrapText="1"/>
    </x:xf>
    <x:xf numFmtId="200" fontId="15" fillId="12" borderId="12" xfId="0" applyNumberFormat="1" applyFont="1" applyFill="1" applyBorder="1" applyAlignment="1">
      <x:alignment horizontal="left" vertical="center" wrapText="1"/>
    </x:xf>
    <x:xf numFmtId="200" fontId="15" fillId="12" borderId="13" xfId="0" applyNumberFormat="1" applyFont="1" applyFill="1" applyBorder="1" applyAlignment="1">
      <x:alignment horizontal="left" vertical="center" wrapText="1"/>
    </x:xf>
    <x:xf numFmtId="200" fontId="13" fillId="2" borderId="14" xfId="0" applyNumberFormat="1" applyFont="1" applyFill="1" applyBorder="1" applyAlignment="1">
      <x:alignment horizontal="left" vertical="center" wrapText="0"/>
    </x:xf>
    <x:xf numFmtId="200" fontId="13" fillId="2" borderId="15" xfId="0" applyNumberFormat="1" applyFont="1" applyFill="1" applyBorder="1" applyAlignment="1">
      <x:alignment horizontal="center" vertical="center" wrapText="0"/>
    </x:xf>
    <x:xf numFmtId="202" fontId="13" fillId="2" borderId="15" xfId="0" applyNumberFormat="1" applyFont="1" applyFill="1" applyBorder="1" applyAlignment="1">
      <x:alignment horizontal="center" vertical="center" wrapText="0"/>
    </x:xf>
    <x:xf numFmtId="200" fontId="13" fillId="2" borderId="15" xfId="0" applyNumberFormat="1" applyFont="1" applyFill="1" applyBorder="1" applyAlignment="1">
      <x:alignment horizontal="right" vertical="center" wrapText="0"/>
    </x:xf>
    <x:xf numFmtId="201" fontId="13" fillId="2" borderId="15" xfId="0" applyNumberFormat="1" applyFont="1" applyFill="1" applyBorder="1" applyAlignment="1">
      <x:alignment horizontal="right" vertical="center" wrapText="0"/>
    </x:xf>
    <x:xf numFmtId="200" fontId="13" fillId="2" borderId="15" xfId="0" applyNumberFormat="1" applyFont="1" applyFill="1" applyBorder="1" applyAlignment="1">
      <x:alignment horizontal="left" vertical="center" wrapText="0"/>
    </x:xf>
    <x:xf numFmtId="200" fontId="4" fillId="2" borderId="16" xfId="0" applyNumberFormat="1" applyFont="1" applyFill="1" applyBorder="1"/>
    <x:xf numFmtId="200" fontId="4" fillId="2" borderId="17" xfId="0" applyNumberFormat="1" applyFont="1" applyFill="1" applyBorder="1"/>
    <x:xf numFmtId="200" fontId="4" fillId="2" borderId="14" xfId="0" applyNumberFormat="1" applyFont="1" applyFill="1" applyBorder="1"/>
    <x:xf numFmtId="200" fontId="4" fillId="13" borderId="17" xfId="0" applyNumberFormat="1" applyFont="1" applyFill="1" applyBorder="1"/>
    <x:xf numFmtId="200" fontId="4" fillId="13" borderId="6" xfId="0" applyNumberFormat="1" applyFont="1" applyFill="1" applyBorder="1"/>
    <x:xf numFmtId="200" fontId="4" fillId="14" borderId="17" xfId="0" applyNumberFormat="1" applyFont="1" applyFill="1" applyBorder="1"/>
    <x:xf numFmtId="200" fontId="4" fillId="14" borderId="6" xfId="0" applyNumberFormat="1" applyFont="1" applyFill="1" applyBorder="1"/>
    <x:xf numFmtId="200" fontId="14" fillId="15" borderId="8" xfId="0" applyNumberFormat="1" applyFont="1" applyFill="1" applyBorder="1" applyAlignment="1">
      <x:alignment horizontal="left" vertical="center" wrapText="1"/>
    </x:xf>
    <x:xf numFmtId="200" fontId="14" fillId="15" borderId="9" xfId="0" applyNumberFormat="1" applyFont="1" applyFill="1" applyBorder="1" applyAlignment="1">
      <x:alignment horizontal="left" vertical="center" wrapText="1"/>
    </x:xf>
    <x:xf numFmtId="200" fontId="14" fillId="15" borderId="10" xfId="0" applyNumberFormat="1" applyFont="1" applyFill="1" applyBorder="1" applyAlignment="1">
      <x:alignment horizontal="left" vertical="center" wrapText="1"/>
    </x:xf>
    <x:xf numFmtId="200" fontId="15" fillId="16" borderId="11" xfId="0" applyNumberFormat="1" applyFont="1" applyFill="1" applyBorder="1" applyAlignment="1">
      <x:alignment horizontal="left" vertical="center" wrapText="1"/>
    </x:xf>
    <x:xf numFmtId="200" fontId="15" fillId="16" borderId="12" xfId="0" applyNumberFormat="1" applyFont="1" applyFill="1" applyBorder="1" applyAlignment="1">
      <x:alignment horizontal="left" vertical="center" wrapText="1"/>
    </x:xf>
    <x:xf numFmtId="200" fontId="15" fillId="16" borderId="13" xfId="0" applyNumberFormat="1" applyFont="1" applyFill="1" applyBorder="1" applyAlignment="1">
      <x:alignment horizontal="left" vertical="center" wrapText="1"/>
    </x:xf>
    <x:xf numFmtId="200" fontId="15" fillId="16" borderId="18" xfId="0" applyNumberFormat="1" applyFont="1" applyFill="1" applyBorder="1" applyAlignment="1">
      <x:alignment horizontal="left" vertical="center" wrapText="1"/>
    </x:xf>
    <x:xf numFmtId="200" fontId="15" fillId="12" borderId="18" xfId="0" applyNumberFormat="1" applyFont="1" applyFill="1" applyBorder="1" applyAlignment="1">
      <x:alignment horizontal="left" vertical="center" wrapText="1"/>
    </x:xf>
    <x:xf numFmtId="200" fontId="14" fillId="17" borderId="8" xfId="0" applyNumberFormat="1" applyFont="1" applyFill="1" applyBorder="1" applyAlignment="1">
      <x:alignment horizontal="left" vertical="center" wrapText="1"/>
    </x:xf>
    <x:xf numFmtId="200" fontId="14" fillId="17" borderId="9" xfId="0" applyNumberFormat="1" applyFont="1" applyFill="1" applyBorder="1" applyAlignment="1">
      <x:alignment horizontal="left" vertical="center" wrapText="1"/>
    </x:xf>
    <x:xf numFmtId="200" fontId="14" fillId="17" borderId="10" xfId="0" applyNumberFormat="1" applyFont="1" applyFill="1" applyBorder="1" applyAlignment="1">
      <x:alignment horizontal="left" vertical="center" wrapText="1"/>
    </x:xf>
    <x:xf numFmtId="200" fontId="15" fillId="18" borderId="11" xfId="0" applyNumberFormat="1" applyFont="1" applyFill="1" applyBorder="1" applyAlignment="1">
      <x:alignment horizontal="left" vertical="center" wrapText="1"/>
    </x:xf>
    <x:xf numFmtId="200" fontId="15" fillId="18" borderId="18" xfId="0" applyNumberFormat="1" applyFont="1" applyFill="1" applyBorder="1" applyAlignment="1">
      <x:alignment horizontal="left" vertical="center" wrapText="1"/>
    </x:xf>
    <x:xf numFmtId="200" fontId="15" fillId="18" borderId="12" xfId="0" applyNumberFormat="1" applyFont="1" applyFill="1" applyBorder="1" applyAlignment="1">
      <x:alignment horizontal="left" vertical="center" wrapText="1"/>
    </x:xf>
    <x:xf numFmtId="200" fontId="15" fillId="18" borderId="13" xfId="0" applyNumberFormat="1" applyFont="1" applyFill="1" applyBorder="1" applyAlignment="1">
      <x:alignment horizontal="left" vertical="center" wrapText="1"/>
    </x:xf>
    <x:xf numFmtId="200" fontId="4" fillId="19" borderId="16" xfId="0" applyNumberFormat="1" applyFont="1" applyFill="1" applyBorder="1"/>
    <x:xf numFmtId="200" fontId="4" fillId="19" borderId="17" xfId="0" applyNumberFormat="1" applyFont="1" applyFill="1" applyBorder="1"/>
    <x:xf numFmtId="200" fontId="4" fillId="20" borderId="16" xfId="0" applyNumberFormat="1" applyFont="1" applyFill="1" applyBorder="1"/>
    <x:xf numFmtId="200" fontId="4" fillId="20" borderId="17" xfId="0" applyNumberFormat="1" applyFont="1" applyFill="1" applyBorder="1"/>
    <x:xf numFmtId="200" fontId="4" fillId="20" borderId="6" xfId="0" applyNumberFormat="1" applyFont="1" applyFill="1" applyBorder="1"/>
    <x:xf numFmtId="200" fontId="4" fillId="21" borderId="16" xfId="0" applyNumberFormat="1" applyFont="1" applyFill="1" applyBorder="1"/>
    <x:xf numFmtId="200" fontId="4" fillId="21" borderId="17" xfId="0" applyNumberFormat="1" applyFont="1" applyFill="1" applyBorder="1"/>
    <x:xf numFmtId="200" fontId="4" fillId="21" borderId="6" xfId="0" applyNumberFormat="1" applyFont="1" applyFill="1" applyBorder="1"/>
    <x:xf numFmtId="200" fontId="4" fillId="20" borderId="7" xfId="0" applyNumberFormat="1" applyFont="1" applyFill="1" applyBorder="1"/>
    <x:xf numFmtId="200" fontId="4" fillId="22" borderId="16" xfId="0" applyNumberFormat="1" applyFont="1" applyFill="1" applyBorder="1"/>
    <x:xf numFmtId="200" fontId="4" fillId="22" borderId="17" xfId="0" applyNumberFormat="1" applyFont="1" applyFill="1" applyBorder="1"/>
    <x:xf numFmtId="200" fontId="4" fillId="22" borderId="14" xfId="0" applyNumberFormat="1" applyFont="1" applyFill="1" applyBorder="1"/>
    <x:xf numFmtId="200" fontId="4" fillId="22" borderId="5" xfId="0" applyNumberFormat="1" applyFont="1" applyFill="1" applyBorder="1"/>
    <x:xf numFmtId="200" fontId="4" fillId="22" borderId="6" xfId="0" applyNumberFormat="1" applyFont="1" applyFill="1" applyBorder="1"/>
    <x:xf numFmtId="200" fontId="4" fillId="22" borderId="7" xfId="0" applyNumberFormat="1" applyFont="1" applyFill="1" applyBorder="1"/>
    <x:xf numFmtId="200" fontId="4" fillId="23" borderId="16" xfId="0" applyNumberFormat="1" applyFont="1" applyFill="1" applyBorder="1"/>
    <x:xf numFmtId="200" fontId="4" fillId="23" borderId="17" xfId="0" applyNumberFormat="1" applyFont="1" applyFill="1" applyBorder="1"/>
    <x:xf numFmtId="200" fontId="4" fillId="24" borderId="16" xfId="0" applyNumberFormat="1" applyFont="1" applyFill="1" applyBorder="1"/>
    <x:xf numFmtId="200" fontId="4" fillId="24" borderId="5" xfId="0" applyNumberFormat="1" applyFont="1" applyFill="1" applyBorder="1"/>
    <x:xf numFmtId="200" fontId="4" fillId="25" borderId="17" xfId="0" applyNumberFormat="1" applyFont="1" applyFill="1" applyBorder="1"/>
    <x:xf numFmtId="200" fontId="4" fillId="25" borderId="6" xfId="0" applyNumberFormat="1" applyFont="1" applyFill="1" applyBorder="1"/>
    <x:xf numFmtId="200" fontId="4" fillId="25" borderId="16" xfId="0" applyNumberFormat="1" applyFont="1" applyFill="1" applyBorder="1"/>
    <x:xf numFmtId="200" fontId="4" fillId="25" borderId="5" xfId="0" applyNumberFormat="1" applyFont="1" applyFill="1" applyBorder="1"/>
  </x:cellXfs>
  <x:cellStyles count="1">
    <x:cellStyle name="Normal" xfId="0"/>
  </x:cellStyles>
  <x:dxfs count="9">
    <x:dxf>
      <x:fill>
        <x:patternFill>
          <x:bgColor rgb="FF4472C4"/>
        </x:patternFill>
      </x:fill>
    </x:dxf>
    <x:dxf>
      <x:fill>
        <x:patternFill>
          <x:bgColor rgb="FF70AD47"/>
        </x:patternFill>
      </x:fill>
    </x:dxf>
    <x:dxf>
      <x:fill>
        <x:patternFill>
          <x:bgColor rgb="FFED7D31"/>
        </x:patternFill>
      </x:fill>
    </x:dxf>
    <x:dxf>
      <x:fill>
        <x:patternFill>
          <x:bgColor rgb="FF4472C4"/>
        </x:patternFill>
      </x:fill>
    </x:dxf>
    <x:dxf>
      <x:fill>
        <x:patternFill>
          <x:bgColor rgb="FF70AD47"/>
        </x:patternFill>
      </x:fill>
    </x:dxf>
    <x:dxf>
      <x:fill>
        <x:patternFill>
          <x:bgColor rgb="FFED7D31"/>
        </x:patternFill>
      </x:fill>
    </x:dxf>
    <x:dxf>
      <x:fill>
        <x:patternFill>
          <x:bgColor rgb="FF4472C4"/>
        </x:patternFill>
      </x:fill>
    </x:dxf>
    <x:dxf>
      <x:fill>
        <x:patternFill>
          <x:bgColor rgb="FF70AD47"/>
        </x:patternFill>
      </x:fill>
    </x:dxf>
    <x:dxf>
      <x:fill>
        <x:patternFill>
          <x:bgColor rgb="FFED7D3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6a854c26f484e" /><Relationship Type="http://schemas.openxmlformats.org/officeDocument/2006/relationships/theme" Target="/xl/theme/theme1.xml" Id="Re349c950511e476a" /><Relationship Type="http://schemas.openxmlformats.org/officeDocument/2006/relationships/sharedStrings" Target="/xl/sharedStrings.xml" Id="Rab2efa15476f46e6" /><Relationship Type="http://schemas.openxmlformats.org/officeDocument/2006/relationships/worksheet" Target="/xl/worksheets/sheet1.xml" Id="R7f48892c02bf45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5" max="5" width="9" hidden="0" customWidth="1"/>
    <x:col min="6" max="6" width="9" hidden="0" customWidth="1"/>
    <x:col min="7" max="7" width="19" hidden="0" customWidth="1"/>
    <x:col min="8" max="8" width="18.625" hidden="0" customWidth="1"/>
    <x:col min="9" max="9" width="12" hidden="0" customWidth="1"/>
    <x:col min="10" max="10" width="8" hidden="0" customWidth="1"/>
    <x:col min="11" max="11" width="8" hidden="0" customWidth="1"/>
    <x:col min="12" max="12" width="9" hidden="0" customWidth="1"/>
    <x:col min="13" max="13" width="24" hidden="0" customWidth="1"/>
    <x:col min="14" max="14" width="3.875" hidden="0" customWidth="1"/>
    <x:col min="15" max="15" width="3.75" hidden="0" customWidth="1"/>
    <x:col min="16" max="16" width="3.75" hidden="0" customWidth="1"/>
    <x:col min="17" max="17" width="3.75" hidden="0" customWidth="1"/>
    <x:col min="18" max="18" width="3.75" hidden="0" customWidth="1"/>
    <x:col min="19" max="19" width="3.75" hidden="0" customWidth="1"/>
    <x:col min="20" max="20" width="3.75" hidden="0" customWidth="1"/>
    <x:col min="21" max="21" width="3.875" hidden="0" customWidth="1"/>
    <x:col min="22" max="22" width="3.75" hidden="0" customWidth="1"/>
    <x:col min="23" max="23" width="3.75" hidden="0" customWidth="1"/>
    <x:col min="24" max="24" width="3.75" hidden="0" customWidth="1"/>
    <x:col min="25" max="25" width="3.75" hidden="0" customWidth="1"/>
    <x:col min="26" max="26" width="3.75" hidden="0" customWidth="1"/>
    <x:col min="27" max="27" width="3.75" hidden="0" customWidth="1"/>
    <x:col min="28" max="28" width="3.75" hidden="0" customWidth="1"/>
    <x:col min="29" max="29" width="3.75" hidden="0" customWidth="1"/>
    <x:col min="30" max="30" width="3.75" hidden="0" customWidth="1"/>
    <x:col min="31" max="31" width="3.75" hidden="0" customWidth="1"/>
    <x:col min="32" max="32" width="3.75" hidden="0" customWidth="1"/>
    <x:col min="33" max="33" width="3.75" hidden="0" customWidth="1"/>
    <x:col min="34" max="34" width="3.75" hidden="0" customWidth="1"/>
    <x:col min="35" max="35" width="3.75" hidden="0" customWidth="1"/>
    <x:col min="36" max="36" width="3.75" hidden="0" customWidth="1"/>
    <x:col min="37" max="37" width="3.75" hidden="0" customWidth="1"/>
    <x:col min="38" max="38" width="3.75" hidden="0" customWidth="1"/>
    <x:col min="39" max="39" width="3.75" hidden="0" customWidth="1"/>
    <x:col min="40" max="40" width="3.75" hidden="0" customWidth="1"/>
    <x:col min="41" max="41" width="3.75" hidden="0" customWidth="1"/>
    <x:col min="42" max="42" width="3.75" hidden="0" customWidth="1"/>
    <x:col min="43" max="43" width="3.75" hidden="0" customWidth="1"/>
    <x:col min="44" max="44" width="3.75" hidden="0" customWidth="1"/>
    <x:col min="45" max="45" width="3.75" hidden="0" customWidth="1"/>
    <x:col min="46" max="46" width="3.75" hidden="0" customWidth="1"/>
    <x:col min="47" max="47" width="3.75" hidden="0" customWidth="1"/>
    <x:col min="48" max="48" width="3.75" hidden="0" customWidth="1"/>
    <x:col min="49" max="49" width="3.75" hidden="0" customWidth="1"/>
    <x:col min="50" max="50" width="3.75" hidden="0" customWidth="1"/>
    <x:col min="51" max="51" width="3.75" hidden="0" customWidth="1"/>
    <x:col min="52" max="52" width="3.75" hidden="0" customWidth="1"/>
    <x:col min="53" max="53" width="3.75" hidden="0" customWidth="1"/>
    <x:col min="54" max="54" width="3.75" hidden="0" customWidth="1"/>
    <x:col min="55" max="55" width="3.75" hidden="0" customWidth="1"/>
    <x:col min="56" max="56" width="3.75" hidden="0" customWidth="1"/>
    <x:col min="57" max="57" width="3.75" hidden="0" customWidth="1"/>
    <x:col min="58" max="58" width="3.75" hidden="0" customWidth="1"/>
    <x:col min="59" max="59" width="3.75" hidden="0" customWidth="1"/>
    <x:col min="60" max="60" width="3.75" hidden="0" customWidth="1"/>
    <x:col min="61" max="61" width="3.75" hidden="0" customWidth="1"/>
    <x:col min="62" max="62" width="3.75" hidden="0" customWidth="1"/>
    <x:col min="63" max="63" width="3.75" hidden="0" customWidth="1"/>
    <x:col min="64" max="64" width="3.75" hidden="0" customWidth="1"/>
    <x:col min="65" max="65" width="3.75" hidden="0" customWidth="1"/>
    <x:col min="66" max="66" width="3.75" hidden="0" customWidth="1"/>
    <x:col min="67" max="67" width="3.75" hidden="0" customWidth="1"/>
    <x:col min="68" max="68" width="3.75" hidden="0" customWidth="1"/>
    <x:col min="69" max="69" width="3.75" hidden="0" customWidth="1"/>
    <x:col min="70" max="70" width="3.75" hidden="0" customWidth="1"/>
    <x:col min="1" max="1" width="7" hidden="0" customWidth="1"/>
    <x:col min="2" max="2" width="18" hidden="0" customWidth="1"/>
    <x:col min="3" max="3" width="29" hidden="0" customWidth="1"/>
    <x:col min="4" max="4" width="54" hidden="0" customWidth="1"/>
    <x:col min="77" max="77" width="3.75" hidden="0" customWidth="1"/>
    <x:col min="76" max="76" width="3.75" hidden="0" customWidth="1"/>
    <x:col min="75" max="75" width="3.75" hidden="0" customWidth="1"/>
    <x:col min="74" max="74" width="3.75" hidden="0" customWidth="1"/>
    <x:col min="73" max="73" width="3.75" hidden="0" customWidth="1"/>
    <x:col min="72" max="72" width="3.75" hidden="0" customWidth="1"/>
    <x:col min="71" max="71" width="3.75" hidden="0" customWidth="1"/>
  </x:cols>
  <x:sheetData>
    <x:row r="1" ht="26.25" customHeight="1">
      <x:c r="A1" s="4" t="str">
        <x:v>프로젝트 WBS (Work Breakdown Structure) &amp; 스케줄링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  <x:c r="BO1" s="4"/>
      <x:c r="BP1" s="4"/>
      <x:c r="BQ1" s="4"/>
      <x:c r="BR1" s="4"/>
      <x:c r="BS1" s="4"/>
      <x:c r="BT1" s="4"/>
      <x:c r="BU1" s="4"/>
      <x:c r="BV1" s="4"/>
      <x:c r="BW1" s="4"/>
      <x:c r="BX1" s="4"/>
      <x:c r="BY1" s="4"/>
    </x:row>
    <x:row r="2" ht="16.5" customHeight="1">
      <x:c r="A2" s="6" t="str">
        <x:v>과목명: 데이터베이스구축실습  |  담당 교수: 노준  |  팀명: AI인사이트 (김웅건, 조윤기)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6"/>
      <x:c r="Z2" s="6"/>
      <x:c r="AA2" s="6"/>
      <x:c r="AB2" s="6"/>
      <x:c r="AC2" s="6"/>
      <x:c r="AD2" s="6"/>
      <x:c r="AE2" s="6"/>
      <x:c r="AF2" s="6"/>
      <x:c r="AG2" s="6"/>
      <x:c r="AH2" s="6"/>
      <x:c r="AI2" s="6"/>
      <x:c r="AJ2" s="6"/>
      <x:c r="AK2" s="6"/>
      <x:c r="AL2" s="6"/>
      <x:c r="AM2" s="6"/>
      <x:c r="AN2" s="6"/>
      <x:c r="AO2" s="6"/>
      <x:c r="AP2" s="6"/>
      <x:c r="AQ2" s="6"/>
      <x:c r="AR2" s="6"/>
      <x:c r="AS2" s="6"/>
      <x:c r="AT2" s="6"/>
      <x:c r="AU2" s="6"/>
      <x:c r="AV2" s="6"/>
      <x:c r="AW2" s="6"/>
      <x:c r="AX2" s="6"/>
      <x:c r="AY2" s="6"/>
      <x:c r="AZ2" s="6"/>
      <x:c r="BA2" s="6"/>
      <x:c r="BB2" s="6"/>
      <x:c r="BC2" s="6"/>
      <x:c r="BD2" s="6"/>
      <x:c r="BE2" s="6"/>
      <x:c r="BF2" s="6"/>
      <x:c r="BG2" s="6"/>
      <x:c r="BH2" s="6"/>
      <x:c r="BI2" s="6"/>
      <x:c r="BJ2" s="6"/>
      <x:c r="BK2" s="6"/>
      <x:c r="BL2" s="6"/>
      <x:c r="BM2" s="6"/>
      <x:c r="BN2" s="6"/>
      <x:c r="BO2" s="6"/>
      <x:c r="BP2" s="6"/>
      <x:c r="BQ2" s="6"/>
      <x:c r="BR2" s="6"/>
      <x:c r="BS2" s="6"/>
      <x:c r="BT2" s="6"/>
      <x:c r="BU2" s="6"/>
      <x:c r="BV2" s="6"/>
      <x:c r="BW2" s="6"/>
      <x:c r="BX2" s="6"/>
      <x:c r="BY2" s="6"/>
    </x:row>
    <x:row r="3" ht="16.5" customHeight="1">
      <x:c r="A3" s="8" t="str">
        <x:v>프로젝트명</x:v>
      </x:c>
      <x:c r="B3" s="10" t="str">
        <x:v>AI 테마주 인사이트 리포트</x:v>
      </x:c>
      <x:c r="C3" s="8"/>
      <x:c r="D3" s="8"/>
      <x:c r="E3" s="12"/>
      <x:c r="F3" s="8" t="str">
        <x:v>기준일</x:v>
      </x:c>
      <x:c r="G3" s="39" t="str">
        <x:v>2026-10-06~12-08</x:v>
      </x:c>
      <x:c r="H3" s="39"/>
      <x:c r="I3" s="8" t="str">
        <x:v>전체 기간</x:v>
      </x:c>
      <x:c r="J3" s="8" t="str">
        <x:v>2026-10-06 ~ 2026-12-08 (9주 1일 / 64일)</x:v>
      </x:c>
      <x:c r="K3" s="8"/>
      <x:c r="L3" s="8"/>
      <x:c r="M3" s="8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</x:row>
    <x:row r="4" ht="16.5" customHeight="1">
      <x:c r="A4" s="8" t="str">
        <x:v>담당 역할</x:v>
      </x:c>
      <x:c r="B4" s="8" t="str">
        <x:v>김웅건 (AI·프론트엔드·기획)  /  조윤기 (데이터·API·백엔드)</x:v>
      </x:c>
      <x:c r="C4" s="8"/>
      <x:c r="D4" s="8"/>
      <x:c r="E4" s="8"/>
      <x:c r="F4" s="8"/>
      <x:c r="G4" s="8"/>
      <x:c r="H4" s="8"/>
      <x:c r="I4" s="8" t="str">
        <x:v>최종 산출물</x:v>
      </x:c>
      <x:c r="J4" s="8" t="str">
        <x:v>Streamlit 기반 AI 리포트·재무 차트·엑셀 다운로드, 최종 기획/검증 보고서</x:v>
      </x:c>
      <x:c r="K4" s="8"/>
      <x:c r="L4" s="8"/>
      <x:c r="M4" s="8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</x:row>
    <x:row r="5" ht="16.5" customHeight="1">
      <x:c r="A5" s="14" t="str">
        <x:v>범 례:</x:v>
      </x:c>
      <x:c r="B5" s="20" t="str">
        <x:v>김웅건 담당</x:v>
      </x:c>
      <x:c r="C5" s="26" t="str">
        <x:v>조윤기 담당</x:v>
      </x:c>
      <x:c r="D5" s="32" t="str">
        <x:v>공통 협업</x:v>
      </x:c>
      <x:c r="E5" s="8"/>
      <x:c r="F5" s="38"/>
      <x:c r="G5" s="8"/>
      <x:c r="H5" s="38" t="str">
        <x:v>대/중분류</x:v>
      </x:c>
      <x:c r="I5" s="8"/>
      <x:c r="J5" s="8"/>
      <x:c r="K5" s="8"/>
      <x:c r="L5" s="8"/>
      <x:c r="M5" s="8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</x:row>
    <x:row r="6" ht="16.5" customHeight="1">
      <x:c r="A6"/>
      <x:c r="B6" s="88" t="str">
        <x:v>대분류</x:v>
      </x:c>
      <x:c r="C6" s="88" t="str">
        <x:v>중분류</x:v>
      </x:c>
      <x:c r="D6" s="88" t="str">
        <x:v>소분류 업무명</x:v>
      </x:c>
      <x:c r="E6" s="47" t="str">
        <x:v>파트</x:v>
      </x:c>
      <x:c r="F6" s="47" t="str">
        <x:v>담당자</x:v>
      </x:c>
      <x:c r="G6" s="47" t="str">
        <x:v>시작일</x:v>
      </x:c>
      <x:c r="H6" s="47" t="str">
        <x:v>종료일</x:v>
      </x:c>
      <x:c r="I6" s="47" t="str">
        <x:v>기간(일)</x:v>
      </x:c>
      <x:c r="J6" s="47" t="str">
        <x:v>진행률</x:v>
      </x:c>
      <x:c r="K6" s="47" t="str">
        <x:v>상태</x:v>
      </x:c>
      <x:c r="L6" s="47" t="str">
        <x:v>주요 산출물</x:v>
      </x:c>
      <x:c r="M6" s="47" t="str">
        <x:v>메모 / 비고</x:v>
      </x:c>
      <x:c r="N6" s="52" t="str">
        <x:v>2026년 10월</x:v>
      </x:c>
      <x:c r="O6" s="8"/>
      <x:c r="P6" s="8"/>
      <x:c r="Q6" s="8"/>
      <x:c r="R6" s="8"/>
      <x:c r="S6" s="8"/>
      <x:c r="T6" s="8"/>
      <x:c r="U6" s="52"/>
      <x:c r="V6" s="8"/>
      <x:c r="W6" s="8"/>
      <x:c r="X6" s="8"/>
      <x:c r="Y6" s="8"/>
      <x:c r="Z6" s="8"/>
      <x:c r="AA6" s="8"/>
      <x:c r="AB6" s="8"/>
      <x:c r="AC6" s="8"/>
      <x:c r="AD6" s="8"/>
      <x:c r="AE6" s="8"/>
      <x:c r="AF6" s="8"/>
      <x:c r="AG6" s="8"/>
      <x:c r="AH6" s="8"/>
      <x:c r="AI6" s="8"/>
      <x:c r="AJ6" s="8"/>
      <x:c r="AK6" s="8"/>
      <x:c r="AL6" s="8"/>
      <x:c r="AM6" s="8"/>
      <x:c r="AN6" s="52" t="str">
        <x:v>2026년 11월</x:v>
      </x:c>
      <x:c r="AO6" s="8"/>
      <x:c r="AP6" s="8"/>
      <x:c r="AQ6" s="8"/>
      <x:c r="AR6" s="8"/>
      <x:c r="AS6" s="8"/>
      <x:c r="AT6" s="8"/>
      <x:c r="AU6" s="8"/>
      <x:c r="AV6" s="8"/>
      <x:c r="AW6" s="8"/>
      <x:c r="AX6" s="8"/>
      <x:c r="AY6" s="8"/>
      <x:c r="AZ6" s="8"/>
      <x:c r="BA6" s="8"/>
      <x:c r="BB6" s="8"/>
      <x:c r="BC6" s="8"/>
      <x:c r="BD6" s="8"/>
      <x:c r="BE6" s="8"/>
      <x:c r="BF6" s="8"/>
      <x:c r="BG6" s="8"/>
      <x:c r="BH6" s="8"/>
      <x:c r="BI6" s="8"/>
      <x:c r="BJ6" s="8"/>
      <x:c r="BK6" s="8"/>
      <x:c r="BL6" s="8"/>
      <x:c r="BM6" s="8"/>
      <x:c r="BN6" s="8"/>
      <x:c r="BO6" s="8"/>
      <x:c r="BP6" s="8"/>
      <x:c r="BQ6" s="8"/>
      <x:c r="BR6" s="52" t="str">
        <x:v>2026년 12월</x:v>
      </x:c>
      <x:c r="BS6" s="8"/>
      <x:c r="BT6" s="8"/>
      <x:c r="BU6" s="8"/>
      <x:c r="BV6" s="8"/>
      <x:c r="BW6" s="8"/>
      <x:c r="BX6" s="8"/>
      <x:c r="BY6" s="8"/>
    </x:row>
    <x:row r="7" ht="16.5" customHeight="1">
      <x:c r="A7"/>
      <x:c r="B7" s="89"/>
      <x:c r="C7" s="89"/>
      <x:c r="D7" s="89"/>
      <x:c r="E7" s="47"/>
      <x:c r="F7" s="47"/>
      <x:c r="G7" s="47"/>
      <x:c r="H7" s="47"/>
      <x:c r="I7" s="47"/>
      <x:c r="J7" s="47"/>
      <x:c r="K7" s="47"/>
      <x:c r="L7" s="47"/>
      <x:c r="M7" s="47"/>
      <x:c r="N7" s="58" t="str">
        <x:v>Week 1</x:v>
      </x:c>
      <x:c r="O7" s="8"/>
      <x:c r="P7" s="8"/>
      <x:c r="Q7" s="8"/>
      <x:c r="R7" s="8"/>
      <x:c r="S7" s="8"/>
      <x:c r="T7" s="8"/>
      <x:c r="U7" s="58" t="str">
        <x:v>Week 2</x:v>
      </x:c>
      <x:c r="V7" s="8"/>
      <x:c r="W7" s="8"/>
      <x:c r="X7" s="8"/>
      <x:c r="Y7" s="8"/>
      <x:c r="Z7" s="8"/>
      <x:c r="AA7" s="8"/>
      <x:c r="AB7" s="58" t="str">
        <x:v>Week 3</x:v>
      </x:c>
      <x:c r="AC7" s="8"/>
      <x:c r="AD7" s="8"/>
      <x:c r="AE7" s="8"/>
      <x:c r="AF7" s="8"/>
      <x:c r="AG7" s="8"/>
      <x:c r="AH7" s="8"/>
      <x:c r="AI7" s="58" t="str">
        <x:v>Week 4</x:v>
      </x:c>
      <x:c r="AJ7" s="8"/>
      <x:c r="AK7" s="8"/>
      <x:c r="AL7" s="8"/>
      <x:c r="AM7" s="8"/>
      <x:c r="AN7" s="8"/>
      <x:c r="AO7" s="8"/>
      <x:c r="AP7" s="58" t="str">
        <x:v>Week 5</x:v>
      </x:c>
      <x:c r="AQ7" s="8"/>
      <x:c r="AR7" s="8"/>
      <x:c r="AS7" s="8"/>
      <x:c r="AT7" s="8"/>
      <x:c r="AU7" s="8"/>
      <x:c r="AV7" s="8"/>
      <x:c r="AW7" s="58" t="str">
        <x:v>Week 6</x:v>
      </x:c>
      <x:c r="AX7" s="8"/>
      <x:c r="AY7" s="8"/>
      <x:c r="AZ7" s="8"/>
      <x:c r="BA7" s="8"/>
      <x:c r="BB7" s="8"/>
      <x:c r="BC7" s="8"/>
      <x:c r="BD7" s="58" t="str">
        <x:v>Week 7</x:v>
      </x:c>
      <x:c r="BE7" s="8"/>
      <x:c r="BF7" s="8"/>
      <x:c r="BG7" s="8"/>
      <x:c r="BH7" s="8"/>
      <x:c r="BI7" s="8"/>
      <x:c r="BJ7" s="8"/>
      <x:c r="BK7" s="58" t="str">
        <x:v>Week 8</x:v>
      </x:c>
      <x:c r="BL7" s="8"/>
      <x:c r="BM7" s="8"/>
      <x:c r="BN7" s="8"/>
      <x:c r="BO7" s="8"/>
      <x:c r="BP7" s="8"/>
      <x:c r="BQ7" s="8"/>
      <x:c r="BR7" s="58" t="str">
        <x:v>Week 9</x:v>
      </x:c>
      <x:c r="BS7" s="8"/>
      <x:c r="BT7" s="8"/>
      <x:c r="BU7" s="8"/>
      <x:c r="BV7" s="8"/>
      <x:c r="BW7" s="8"/>
      <x:c r="BX7" s="8"/>
      <x:c r="BY7" s="8"/>
    </x:row>
    <x:row r="8" ht="22.5" customHeight="1">
      <x:c r="A8"/>
      <x:c r="B8" s="90"/>
      <x:c r="C8" s="90"/>
      <x:c r="D8" s="90"/>
      <x:c r="E8" s="47"/>
      <x:c r="F8" s="47"/>
      <x:c r="G8" s="47"/>
      <x:c r="H8" s="47"/>
      <x:c r="I8" s="47"/>
      <x:c r="J8" s="47"/>
      <x:c r="K8" s="47"/>
      <x:c r="L8" s="47"/>
      <x:c r="M8" s="47"/>
      <x:c r="N8" s="64" t="str">
        <x:v>6
화</x:v>
      </x:c>
      <x:c r="O8" s="64" t="str">
        <x:v>7
수</x:v>
      </x:c>
      <x:c r="P8" s="64" t="str">
        <x:v>8
목</x:v>
      </x:c>
      <x:c r="Q8" s="64" t="str">
        <x:v>9
금</x:v>
      </x:c>
      <x:c r="R8" s="69" t="str">
        <x:v>10
토</x:v>
      </x:c>
      <x:c r="S8" s="75" t="str">
        <x:v>11
일</x:v>
      </x:c>
      <x:c r="T8" s="64" t="str">
        <x:v>12
월</x:v>
      </x:c>
      <x:c r="U8" s="64" t="str">
        <x:v>13
화</x:v>
      </x:c>
      <x:c r="V8" s="64" t="str">
        <x:v>14
수</x:v>
      </x:c>
      <x:c r="W8" s="64" t="str">
        <x:v>15
목</x:v>
      </x:c>
      <x:c r="X8" s="64" t="str">
        <x:v>16
금</x:v>
      </x:c>
      <x:c r="Y8" s="69" t="str">
        <x:v>17
토</x:v>
      </x:c>
      <x:c r="Z8" s="75" t="str">
        <x:v>18
일</x:v>
      </x:c>
      <x:c r="AA8" s="64" t="str">
        <x:v>19
월</x:v>
      </x:c>
      <x:c r="AB8" s="64" t="str">
        <x:v>20
화</x:v>
      </x:c>
      <x:c r="AC8" s="64" t="str">
        <x:v>21
수</x:v>
      </x:c>
      <x:c r="AD8" s="64" t="str">
        <x:v>22
목</x:v>
      </x:c>
      <x:c r="AE8" s="64" t="str">
        <x:v>23
금</x:v>
      </x:c>
      <x:c r="AF8" s="69" t="str">
        <x:v>24
토</x:v>
      </x:c>
      <x:c r="AG8" s="75" t="str">
        <x:v>25
일</x:v>
      </x:c>
      <x:c r="AH8" s="64" t="str">
        <x:v>26
월</x:v>
      </x:c>
      <x:c r="AI8" s="64" t="str">
        <x:v>27
화</x:v>
      </x:c>
      <x:c r="AJ8" s="64" t="str">
        <x:v>28
수</x:v>
      </x:c>
      <x:c r="AK8" s="64" t="str">
        <x:v>29
목</x:v>
      </x:c>
      <x:c r="AL8" s="64" t="str">
        <x:v>30
금</x:v>
      </x:c>
      <x:c r="AM8" s="69" t="str">
        <x:v>31
토</x:v>
      </x:c>
      <x:c r="AN8" s="75" t="str">
        <x:v>1
일</x:v>
      </x:c>
      <x:c r="AO8" s="64" t="str">
        <x:v>2
월</x:v>
      </x:c>
      <x:c r="AP8" s="64" t="str">
        <x:v>3
화</x:v>
      </x:c>
      <x:c r="AQ8" s="64" t="str">
        <x:v>4
수</x:v>
      </x:c>
      <x:c r="AR8" s="64" t="str">
        <x:v>5
목</x:v>
      </x:c>
      <x:c r="AS8" s="64" t="str">
        <x:v>6
금</x:v>
      </x:c>
      <x:c r="AT8" s="69" t="str">
        <x:v>7
토</x:v>
      </x:c>
      <x:c r="AU8" s="75" t="str">
        <x:v>8
일</x:v>
      </x:c>
      <x:c r="AV8" s="64" t="str">
        <x:v>9
월</x:v>
      </x:c>
      <x:c r="AW8" s="64" t="str">
        <x:v>10
화</x:v>
      </x:c>
      <x:c r="AX8" s="64" t="str">
        <x:v>11
수</x:v>
      </x:c>
      <x:c r="AY8" s="64" t="str">
        <x:v>12
목</x:v>
      </x:c>
      <x:c r="AZ8" s="64" t="str">
        <x:v>13
금</x:v>
      </x:c>
      <x:c r="BA8" s="69" t="str">
        <x:v>14
토</x:v>
      </x:c>
      <x:c r="BB8" s="75" t="str">
        <x:v>15
일</x:v>
      </x:c>
      <x:c r="BC8" s="64" t="str">
        <x:v>16
월</x:v>
      </x:c>
      <x:c r="BD8" s="64" t="str">
        <x:v>17
화</x:v>
      </x:c>
      <x:c r="BE8" s="64" t="str">
        <x:v>18
수</x:v>
      </x:c>
      <x:c r="BF8" s="64" t="str">
        <x:v>19
목</x:v>
      </x:c>
      <x:c r="BG8" s="64" t="str">
        <x:v>20
금</x:v>
      </x:c>
      <x:c r="BH8" s="69" t="str">
        <x:v>21
토</x:v>
      </x:c>
      <x:c r="BI8" s="75" t="str">
        <x:v>22
일</x:v>
      </x:c>
      <x:c r="BJ8" s="64" t="str">
        <x:v>23
월</x:v>
      </x:c>
      <x:c r="BK8" s="64" t="str">
        <x:v>24
화</x:v>
      </x:c>
      <x:c r="BL8" s="64" t="str">
        <x:v>25
수</x:v>
      </x:c>
      <x:c r="BM8" s="64" t="str">
        <x:v>26
목</x:v>
      </x:c>
      <x:c r="BN8" s="64" t="str">
        <x:v>27
금</x:v>
      </x:c>
      <x:c r="BO8" s="69" t="str">
        <x:v>28
토</x:v>
      </x:c>
      <x:c r="BP8" s="75" t="str">
        <x:v>29
일</x:v>
      </x:c>
      <x:c r="BQ8" s="64" t="str">
        <x:v>30
월</x:v>
      </x:c>
      <x:c r="BR8" s="64" t="str">
        <x:v>1
화</x:v>
      </x:c>
      <x:c r="BS8" s="64" t="str">
        <x:v>2
수</x:v>
      </x:c>
      <x:c r="BT8" s="64" t="str">
        <x:v>3
목</x:v>
      </x:c>
      <x:c r="BU8" s="64" t="str">
        <x:v>4
금</x:v>
      </x:c>
      <x:c r="BV8" s="69" t="str">
        <x:v>5
토</x:v>
      </x:c>
      <x:c r="BW8" s="75" t="str">
        <x:v>6
일</x:v>
      </x:c>
      <x:c r="BX8" s="64" t="str">
        <x:v>7
월</x:v>
      </x:c>
      <x:c r="BY8" s="64" t="str">
        <x:v>8
화</x:v>
      </x:c>
    </x:row>
    <x:row r="9" ht="16.5" customHeight="1">
      <x:c r="A9"/>
      <x:c r="B9" s="164" t="str">
        <x:v>기획 및 요구분석</x:v>
      </x:c>
      <x:c r="C9" s="168" t="str">
        <x:v>기획서 작성</x:v>
      </x:c>
      <x:c r="D9" s="143" t="str">
        <x:v>프로젝트 기획서 작성</x:v>
      </x:c>
      <x:c r="E9" s="144" t="str">
        <x:v>기획</x:v>
      </x:c>
      <x:c r="F9" s="144" t="str">
        <x:v>공통</x:v>
      </x:c>
      <x:c r="G9" s="145" t="d">
        <x:v>2026-10-06T00:00:00.000Z</x:v>
      </x:c>
      <x:c r="H9" s="145" t="d">
        <x:v>2026-10-12T00:00:00.000Z</x:v>
      </x:c>
      <x:c r="I9" s="146" t="n">
        <x:f>IF(OR(G9="",H9=""),"",IF(H9&lt;G9,"일정확인",H9-G9+1))</x:f>
        <x:v>7</x:v>
      </x:c>
      <x:c r="J9" s="147" t="n">
        <x:v>1</x:v>
      </x:c>
      <x:c r="K9" s="144" t="str">
        <x:f>IF(ISNUMBER(J9),IF(J9=1,"완료",IF(J9=0,"미착수","진행중")),"")</x:f>
        <x:v>완료</x:v>
      </x:c>
      <x:c r="L9" s="148" t="str">
        <x:v>기획서</x:v>
      </x:c>
      <x:c r="M9" s="148" t="str">
        <x:v>공동 작성 완료</x:v>
      </x:c>
      <x:c r="N9" s="186"/>
      <x:c r="O9" s="187"/>
      <x:c r="P9" s="187"/>
      <x:c r="Q9" s="187"/>
      <x:c r="R9" s="187"/>
      <x:c r="S9" s="187"/>
      <x:c r="T9" s="187"/>
      <x:c r="U9" s="180"/>
      <x:c r="V9" s="181"/>
      <x:c r="W9" s="181"/>
      <x:c r="X9" s="181"/>
      <x:c r="Y9" s="181"/>
      <x:c r="Z9" s="181"/>
      <x:c r="AA9" s="181"/>
      <x:c r="AB9" s="181"/>
      <x:c r="AC9" s="181"/>
      <x:c r="AD9" s="181"/>
      <x:c r="AE9" s="181"/>
      <x:c r="AF9" s="181"/>
      <x:c r="AG9" s="181"/>
      <x:c r="AH9" s="181"/>
      <x:c r="AI9" s="181"/>
      <x:c r="AJ9" s="181"/>
      <x:c r="AK9" s="181"/>
      <x:c r="AL9" s="181"/>
      <x:c r="AM9" s="181"/>
      <x:c r="AN9" s="181"/>
      <x:c r="AO9" s="181"/>
      <x:c r="AP9" s="181"/>
      <x:c r="AQ9" s="181"/>
      <x:c r="AR9" s="181"/>
      <x:c r="AS9" s="181"/>
      <x:c r="AT9" s="181"/>
      <x:c r="AU9" s="181"/>
      <x:c r="AV9" s="181"/>
      <x:c r="AW9" s="181"/>
      <x:c r="AX9" s="181"/>
      <x:c r="AY9" s="181"/>
      <x:c r="AZ9" s="181"/>
      <x:c r="BA9" s="181"/>
      <x:c r="BB9" s="181"/>
      <x:c r="BC9" s="181"/>
      <x:c r="BD9" s="181"/>
      <x:c r="BE9" s="181"/>
      <x:c r="BF9" s="181"/>
      <x:c r="BG9" s="181"/>
      <x:c r="BH9" s="181"/>
      <x:c r="BI9" s="181"/>
      <x:c r="BJ9" s="181"/>
      <x:c r="BK9" s="181"/>
      <x:c r="BL9" s="181"/>
      <x:c r="BM9" s="181"/>
      <x:c r="BN9" s="181"/>
      <x:c r="BO9" s="181"/>
      <x:c r="BP9" s="181"/>
      <x:c r="BQ9" s="181"/>
      <x:c r="BR9" s="181"/>
      <x:c r="BS9" s="181"/>
      <x:c r="BT9" s="181"/>
      <x:c r="BU9" s="181"/>
      <x:c r="BV9" s="181"/>
      <x:c r="BW9" s="181"/>
      <x:c r="BX9" s="181"/>
      <x:c r="BY9" s="182"/>
    </x:row>
    <x:row r="10" ht="16.5" customHeight="1">
      <x:c r="A10"/>
      <x:c r="B10" s="164"/>
      <x:c r="C10" s="167" t="str">
        <x:v>서비스 요구사항 정의</x:v>
      </x:c>
      <x:c r="D10" s="143" t="str">
        <x:v>서비스 대상 사용자 및 테마 검색 목적 정의</x:v>
      </x:c>
      <x:c r="E10" s="144" t="str">
        <x:v>기획</x:v>
      </x:c>
      <x:c r="F10" s="144" t="str">
        <x:v>김웅건</x:v>
      </x:c>
      <x:c r="G10" s="145" t="d">
        <x:v>2026-10-13T00:00:00.000Z</x:v>
      </x:c>
      <x:c r="H10" s="145" t="d">
        <x:v>2026-10-13T00:00:00.000Z</x:v>
      </x:c>
      <x:c r="I10" s="146" t="n">
        <x:f>IF(OR(G10="",H10=""),"",IF(H10&lt;G10,"일정확인",H10-G10+1))</x:f>
        <x:v>1</x:v>
      </x:c>
      <x:c r="J10" s="147" t="n">
        <x:v>1</x:v>
      </x:c>
      <x:c r="K10" s="144" t="str">
        <x:f>IF(ISNUMBER(J10),IF(J10=1,"완료",IF(J10=0,"미착수","진행중")),"")</x:f>
        <x:v>완료</x:v>
      </x:c>
      <x:c r="L10" s="148" t="str">
        <x:v>목표정의서</x:v>
      </x:c>
      <x:c r="M10" s="148" t="str">
        <x:v>목표·시나리오·범위 작성</x:v>
      </x:c>
      <x:c r="N10" s="180"/>
      <x:c r="O10" s="181"/>
      <x:c r="P10" s="181"/>
      <x:c r="Q10" s="181"/>
      <x:c r="R10" s="181"/>
      <x:c r="S10" s="181"/>
      <x:c r="T10" s="181"/>
      <x:c r="U10" s="188"/>
      <x:c r="V10" s="181"/>
      <x:c r="W10" s="181"/>
      <x:c r="X10" s="181"/>
      <x:c r="Y10" s="181"/>
      <x:c r="Z10" s="181"/>
      <x:c r="AA10" s="181"/>
      <x:c r="AB10" s="181"/>
      <x:c r="AC10" s="181"/>
      <x:c r="AD10" s="181"/>
      <x:c r="AE10" s="181"/>
      <x:c r="AF10" s="181"/>
      <x:c r="AG10" s="181"/>
      <x:c r="AH10" s="181"/>
      <x:c r="AI10" s="181"/>
      <x:c r="AJ10" s="181"/>
      <x:c r="AK10" s="181"/>
      <x:c r="AL10" s="181"/>
      <x:c r="AM10" s="181"/>
      <x:c r="AN10" s="181"/>
      <x:c r="AO10" s="181"/>
      <x:c r="AP10" s="181"/>
      <x:c r="AQ10" s="181"/>
      <x:c r="AR10" s="181"/>
      <x:c r="AS10" s="181"/>
      <x:c r="AT10" s="181"/>
      <x:c r="AU10" s="181"/>
      <x:c r="AV10" s="181"/>
      <x:c r="AW10" s="181"/>
      <x:c r="AX10" s="181"/>
      <x:c r="AY10" s="181"/>
      <x:c r="AZ10" s="181"/>
      <x:c r="BA10" s="181"/>
      <x:c r="BB10" s="181"/>
      <x:c r="BC10" s="181"/>
      <x:c r="BD10" s="181"/>
      <x:c r="BE10" s="181"/>
      <x:c r="BF10" s="181"/>
      <x:c r="BG10" s="181"/>
      <x:c r="BH10" s="181"/>
      <x:c r="BI10" s="181"/>
      <x:c r="BJ10" s="181"/>
      <x:c r="BK10" s="181"/>
      <x:c r="BL10" s="181"/>
      <x:c r="BM10" s="181"/>
      <x:c r="BN10" s="181"/>
      <x:c r="BO10" s="181"/>
      <x:c r="BP10" s="181"/>
      <x:c r="BQ10" s="181"/>
      <x:c r="BR10" s="181"/>
      <x:c r="BS10" s="181"/>
      <x:c r="BT10" s="181"/>
      <x:c r="BU10" s="181"/>
      <x:c r="BV10" s="181"/>
      <x:c r="BW10" s="181"/>
      <x:c r="BX10" s="181"/>
      <x:c r="BY10" s="182"/>
    </x:row>
    <x:row r="11" ht="16.5" customHeight="1">
      <x:c r="A11"/>
      <x:c r="B11" s="165"/>
      <x:c r="C11" s="169"/>
      <x:c r="D11" s="111" t="str">
        <x:v>관련 종목 후보 수와 사용자 분석 종목 선택 규칙 정의</x:v>
      </x:c>
      <x:c r="E11" s="96" t="str">
        <x:v>기획</x:v>
      </x:c>
      <x:c r="F11" s="96" t="str">
        <x:v>김웅건</x:v>
      </x:c>
      <x:c r="G11" s="126" t="d">
        <x:v>2026-10-14T00:00:00.000Z</x:v>
      </x:c>
      <x:c r="H11" s="126" t="d">
        <x:v>2026-10-15T00:00:00.000Z</x:v>
      </x:c>
      <x:c r="I11" s="113" t="n">
        <x:f>IF(OR(G11="",H11=""),"",IF(H11&lt;G11,"일정확인",H11-G11+1))</x:f>
        <x:v>2</x:v>
      </x:c>
      <x:c r="J11" s="117"/>
      <x:c r="K11" s="96" t="str">
        <x:v>진행중</x:v>
      </x:c>
      <x:c r="L11" s="119" t="str">
        <x:v>선택규칙서</x:v>
      </x:c>
      <x:c r="M11" s="119" t="str">
        <x:v>첫 후보 규칙만·선택 기능 전</x:v>
      </x:c>
      <x:c r="N11" s="183"/>
      <x:c r="O11" s="184"/>
      <x:c r="P11" s="184"/>
      <x:c r="Q11" s="184"/>
      <x:c r="R11" s="184"/>
      <x:c r="S11" s="184"/>
      <x:c r="T11" s="184"/>
      <x:c r="U11" s="183"/>
      <x:c r="V11" s="184"/>
      <x:c r="W11" s="184"/>
      <x:c r="X11" s="184"/>
      <x:c r="Y11" s="184"/>
      <x:c r="Z11" s="184"/>
      <x:c r="AA11" s="184"/>
      <x:c r="AB11" s="184"/>
      <x:c r="AC11" s="184"/>
      <x:c r="AD11" s="184"/>
      <x:c r="AE11" s="184"/>
      <x:c r="AF11" s="184"/>
      <x:c r="AG11" s="184"/>
      <x:c r="AH11" s="184"/>
      <x:c r="AI11" s="184"/>
      <x:c r="AJ11" s="184"/>
      <x:c r="AK11" s="184"/>
      <x:c r="AL11" s="184"/>
      <x:c r="AM11" s="184"/>
      <x:c r="AN11" s="184"/>
      <x:c r="AO11" s="184"/>
      <x:c r="AP11" s="184"/>
      <x:c r="AQ11" s="184"/>
      <x:c r="AR11" s="184"/>
      <x:c r="AS11" s="184"/>
      <x:c r="AT11" s="184"/>
      <x:c r="AU11" s="184"/>
      <x:c r="AV11" s="184"/>
      <x:c r="AW11" s="184"/>
      <x:c r="AX11" s="184"/>
      <x:c r="AY11" s="184"/>
      <x:c r="AZ11" s="184"/>
      <x:c r="BA11" s="184"/>
      <x:c r="BB11" s="184"/>
      <x:c r="BC11" s="184"/>
      <x:c r="BD11" s="184"/>
      <x:c r="BE11" s="184"/>
      <x:c r="BF11" s="184"/>
      <x:c r="BG11" s="184"/>
      <x:c r="BH11" s="184"/>
      <x:c r="BI11" s="184"/>
      <x:c r="BJ11" s="184"/>
      <x:c r="BK11" s="184"/>
      <x:c r="BL11" s="184"/>
      <x:c r="BM11" s="184"/>
      <x:c r="BN11" s="184"/>
      <x:c r="BO11" s="184"/>
      <x:c r="BP11" s="184"/>
      <x:c r="BQ11" s="184"/>
      <x:c r="BR11" s="184"/>
      <x:c r="BS11" s="184"/>
      <x:c r="BT11" s="184"/>
      <x:c r="BU11" s="184"/>
      <x:c r="BV11" s="184"/>
      <x:c r="BW11" s="184"/>
      <x:c r="BX11" s="184"/>
      <x:c r="BY11" s="185"/>
    </x:row>
    <x:row r="12" ht="16.5" customHeight="1">
      <x:c r="A12"/>
      <x:c r="B12" s="165"/>
      <x:c r="C12" s="169"/>
      <x:c r="D12" s="111" t="str">
        <x:v>테마 입력부터 결과 확인까지 사용자 시나리오 작성</x:v>
      </x:c>
      <x:c r="E12" s="96" t="str">
        <x:v>기획</x:v>
      </x:c>
      <x:c r="F12" s="96" t="str">
        <x:v>김웅건</x:v>
      </x:c>
      <x:c r="G12" s="126" t="d">
        <x:v>2026-10-13T00:00:00.000Z</x:v>
      </x:c>
      <x:c r="H12" s="126" t="d">
        <x:v>2026-10-13T00:00:00.000Z</x:v>
      </x:c>
      <x:c r="I12" s="113" t="n">
        <x:f>IF(OR(G12="",H12=""),"",IF(H12&lt;G12,"일정확인",H12-G12+1))</x:f>
        <x:v>1</x:v>
      </x:c>
      <x:c r="J12" s="117" t="n">
        <x:v>1</x:v>
      </x:c>
      <x:c r="K12" s="96" t="str">
        <x:f>IF(ISNUMBER(J12),IF(J12=1,"완료",IF(J12=0,"미착수","진행중")),"")</x:f>
        <x:v>완료</x:v>
      </x:c>
      <x:c r="L12" s="119" t="str">
        <x:v>시나리오</x:v>
      </x:c>
      <x:c r="M12" s="119" t="str">
        <x:v>목표·시나리오·범위 작성</x:v>
      </x:c>
      <x:c r="N12" s="183"/>
      <x:c r="O12" s="184"/>
      <x:c r="P12" s="184"/>
      <x:c r="Q12" s="184"/>
      <x:c r="R12" s="184"/>
      <x:c r="S12" s="184"/>
      <x:c r="T12" s="184"/>
      <x:c r="U12" s="189"/>
      <x:c r="V12" s="184"/>
      <x:c r="W12" s="184"/>
      <x:c r="X12" s="184"/>
      <x:c r="Y12" s="184"/>
      <x:c r="Z12" s="184"/>
      <x:c r="AA12" s="184"/>
      <x:c r="AB12" s="184"/>
      <x:c r="AC12" s="184"/>
      <x:c r="AD12" s="184"/>
      <x:c r="AE12" s="184"/>
      <x:c r="AF12" s="184"/>
      <x:c r="AG12" s="184"/>
      <x:c r="AH12" s="184"/>
      <x:c r="AI12" s="184"/>
      <x:c r="AJ12" s="184"/>
      <x:c r="AK12" s="184"/>
      <x:c r="AL12" s="184"/>
      <x:c r="AM12" s="184"/>
      <x:c r="AN12" s="184"/>
      <x:c r="AO12" s="184"/>
      <x:c r="AP12" s="184"/>
      <x:c r="AQ12" s="184"/>
      <x:c r="AR12" s="184"/>
      <x:c r="AS12" s="184"/>
      <x:c r="AT12" s="184"/>
      <x:c r="AU12" s="184"/>
      <x:c r="AV12" s="184"/>
      <x:c r="AW12" s="184"/>
      <x:c r="AX12" s="184"/>
      <x:c r="AY12" s="184"/>
      <x:c r="AZ12" s="184"/>
      <x:c r="BA12" s="184"/>
      <x:c r="BB12" s="184"/>
      <x:c r="BC12" s="184"/>
      <x:c r="BD12" s="184"/>
      <x:c r="BE12" s="184"/>
      <x:c r="BF12" s="184"/>
      <x:c r="BG12" s="184"/>
      <x:c r="BH12" s="184"/>
      <x:c r="BI12" s="184"/>
      <x:c r="BJ12" s="184"/>
      <x:c r="BK12" s="184"/>
      <x:c r="BL12" s="184"/>
      <x:c r="BM12" s="184"/>
      <x:c r="BN12" s="184"/>
      <x:c r="BO12" s="184"/>
      <x:c r="BP12" s="184"/>
      <x:c r="BQ12" s="184"/>
      <x:c r="BR12" s="184"/>
      <x:c r="BS12" s="184"/>
      <x:c r="BT12" s="184"/>
      <x:c r="BU12" s="184"/>
      <x:c r="BV12" s="184"/>
      <x:c r="BW12" s="184"/>
      <x:c r="BX12" s="184"/>
      <x:c r="BY12" s="185"/>
    </x:row>
    <x:row r="13" ht="16.5" customHeight="1">
      <x:c r="A13"/>
      <x:c r="B13" s="165"/>
      <x:c r="C13" s="170"/>
      <x:c r="D13" s="111" t="str">
        <x:v>기본 기능과 추가 기능의 개발 범위 구분</x:v>
      </x:c>
      <x:c r="E13" s="96" t="str">
        <x:v>기획</x:v>
      </x:c>
      <x:c r="F13" s="96" t="str">
        <x:v>김웅건</x:v>
      </x:c>
      <x:c r="G13" s="126" t="d">
        <x:v>2026-10-13T00:00:00.000Z</x:v>
      </x:c>
      <x:c r="H13" s="126" t="d">
        <x:v>2026-10-13T00:00:00.000Z</x:v>
      </x:c>
      <x:c r="I13" s="113" t="n">
        <x:f>IF(OR(G13="",H13=""),"",IF(H13&lt;G13,"일정확인",H13-G13+1))</x:f>
        <x:v>1</x:v>
      </x:c>
      <x:c r="J13" s="117" t="n">
        <x:v>1</x:v>
      </x:c>
      <x:c r="K13" s="96" t="str">
        <x:f>IF(ISNUMBER(J13),IF(J13=1,"완료",IF(J13=0,"미착수","진행중")),"")</x:f>
        <x:v>완료</x:v>
      </x:c>
      <x:c r="L13" s="119" t="str">
        <x:v>범위정의서</x:v>
      </x:c>
      <x:c r="M13" s="119" t="str">
        <x:v>목표·시나리오·범위 작성</x:v>
      </x:c>
      <x:c r="N13" s="183"/>
      <x:c r="O13" s="184"/>
      <x:c r="P13" s="184"/>
      <x:c r="Q13" s="184"/>
      <x:c r="R13" s="184"/>
      <x:c r="S13" s="184"/>
      <x:c r="T13" s="184"/>
      <x:c r="U13" s="189"/>
      <x:c r="V13" s="184"/>
      <x:c r="W13" s="184"/>
      <x:c r="X13" s="184"/>
      <x:c r="Y13" s="184"/>
      <x:c r="Z13" s="184"/>
      <x:c r="AA13" s="184"/>
      <x:c r="AB13" s="184"/>
      <x:c r="AC13" s="184"/>
      <x:c r="AD13" s="184"/>
      <x:c r="AE13" s="184"/>
      <x:c r="AF13" s="184"/>
      <x:c r="AG13" s="184"/>
      <x:c r="AH13" s="184"/>
      <x:c r="AI13" s="184"/>
      <x:c r="AJ13" s="184"/>
      <x:c r="AK13" s="184"/>
      <x:c r="AL13" s="184"/>
      <x:c r="AM13" s="184"/>
      <x:c r="AN13" s="184"/>
      <x:c r="AO13" s="184"/>
      <x:c r="AP13" s="184"/>
      <x:c r="AQ13" s="184"/>
      <x:c r="AR13" s="184"/>
      <x:c r="AS13" s="184"/>
      <x:c r="AT13" s="184"/>
      <x:c r="AU13" s="184"/>
      <x:c r="AV13" s="184"/>
      <x:c r="AW13" s="184"/>
      <x:c r="AX13" s="184"/>
      <x:c r="AY13" s="184"/>
      <x:c r="AZ13" s="184"/>
      <x:c r="BA13" s="184"/>
      <x:c r="BB13" s="184"/>
      <x:c r="BC13" s="184"/>
      <x:c r="BD13" s="184"/>
      <x:c r="BE13" s="184"/>
      <x:c r="BF13" s="184"/>
      <x:c r="BG13" s="184"/>
      <x:c r="BH13" s="184"/>
      <x:c r="BI13" s="184"/>
      <x:c r="BJ13" s="184"/>
      <x:c r="BK13" s="184"/>
      <x:c r="BL13" s="184"/>
      <x:c r="BM13" s="184"/>
      <x:c r="BN13" s="184"/>
      <x:c r="BO13" s="184"/>
      <x:c r="BP13" s="184"/>
      <x:c r="BQ13" s="184"/>
      <x:c r="BR13" s="184"/>
      <x:c r="BS13" s="184"/>
      <x:c r="BT13" s="184"/>
      <x:c r="BU13" s="184"/>
      <x:c r="BV13" s="184"/>
      <x:c r="BW13" s="184"/>
      <x:c r="BX13" s="184"/>
      <x:c r="BY13" s="185"/>
    </x:row>
    <x:row r="14" ht="16.5" customHeight="1">
      <x:c r="A14"/>
      <x:c r="B14" s="165"/>
      <x:c r="C14" s="167" t="str">
        <x:v>데이터 요구사항 정의</x:v>
      </x:c>
      <x:c r="D14" s="143" t="str">
        <x:v>주가·금융 지표·재무제표 수집 항목 정의</x:v>
      </x:c>
      <x:c r="E14" s="144" t="str">
        <x:v>기획</x:v>
      </x:c>
      <x:c r="F14" s="144" t="str">
        <x:v>조윤기</x:v>
      </x:c>
      <x:c r="G14" s="145" t="d">
        <x:v>2026-10-14T00:00:00.000Z</x:v>
      </x:c>
      <x:c r="H14" s="145" t="d">
        <x:v>2026-10-14T00:00:00.000Z</x:v>
      </x:c>
      <x:c r="I14" s="146" t="n">
        <x:f>IF(OR(G14="",H14=""),"",IF(H14&lt;G14,"일정확인",H14-G14+1))</x:f>
        <x:v>1</x:v>
      </x:c>
      <x:c r="J14" s="147" t="n">
        <x:v>1</x:v>
      </x:c>
      <x:c r="K14" s="144" t="str">
        <x:f>IF(ISNUMBER(J14),IF(J14=1,"완료",IF(J14=0,"미착수","진행중")),"")</x:f>
        <x:v>완료</x:v>
      </x:c>
      <x:c r="L14" s="148" t="str">
        <x:v>항목정의서</x:v>
      </x:c>
      <x:c r="M14" s="148" t="str">
        <x:v>항목·API 조건 조사 완료</x:v>
      </x:c>
      <x:c r="N14" s="180"/>
      <x:c r="O14" s="181"/>
      <x:c r="P14" s="181"/>
      <x:c r="Q14" s="181"/>
      <x:c r="R14" s="181"/>
      <x:c r="S14" s="181"/>
      <x:c r="T14" s="181"/>
      <x:c r="U14" s="180"/>
      <x:c r="V14" s="190"/>
      <x:c r="W14" s="181"/>
      <x:c r="X14" s="181"/>
      <x:c r="Y14" s="181"/>
      <x:c r="Z14" s="181"/>
      <x:c r="AA14" s="181"/>
      <x:c r="AB14" s="181"/>
      <x:c r="AC14" s="181"/>
      <x:c r="AD14" s="181"/>
      <x:c r="AE14" s="181"/>
      <x:c r="AF14" s="181"/>
      <x:c r="AG14" s="181"/>
      <x:c r="AH14" s="181"/>
      <x:c r="AI14" s="181"/>
      <x:c r="AJ14" s="181"/>
      <x:c r="AK14" s="181"/>
      <x:c r="AL14" s="181"/>
      <x:c r="AM14" s="181"/>
      <x:c r="AN14" s="181"/>
      <x:c r="AO14" s="181"/>
      <x:c r="AP14" s="181"/>
      <x:c r="AQ14" s="181"/>
      <x:c r="AR14" s="181"/>
      <x:c r="AS14" s="181"/>
      <x:c r="AT14" s="181"/>
      <x:c r="AU14" s="181"/>
      <x:c r="AV14" s="181"/>
      <x:c r="AW14" s="181"/>
      <x:c r="AX14" s="181"/>
      <x:c r="AY14" s="181"/>
      <x:c r="AZ14" s="181"/>
      <x:c r="BA14" s="181"/>
      <x:c r="BB14" s="181"/>
      <x:c r="BC14" s="181"/>
      <x:c r="BD14" s="181"/>
      <x:c r="BE14" s="181"/>
      <x:c r="BF14" s="181"/>
      <x:c r="BG14" s="181"/>
      <x:c r="BH14" s="181"/>
      <x:c r="BI14" s="181"/>
      <x:c r="BJ14" s="181"/>
      <x:c r="BK14" s="181"/>
      <x:c r="BL14" s="181"/>
      <x:c r="BM14" s="181"/>
      <x:c r="BN14" s="181"/>
      <x:c r="BO14" s="181"/>
      <x:c r="BP14" s="181"/>
      <x:c r="BQ14" s="181"/>
      <x:c r="BR14" s="181"/>
      <x:c r="BS14" s="181"/>
      <x:c r="BT14" s="181"/>
      <x:c r="BU14" s="181"/>
      <x:c r="BV14" s="181"/>
      <x:c r="BW14" s="181"/>
      <x:c r="BX14" s="181"/>
      <x:c r="BY14" s="182"/>
    </x:row>
    <x:row r="15" ht="16.5" customHeight="1">
      <x:c r="A15"/>
      <x:c r="B15" s="165"/>
      <x:c r="C15" s="169"/>
      <x:c r="D15" s="111" t="str">
        <x:v>데이터 API의 비용·화면 제공·다운로드 조건 조사</x:v>
      </x:c>
      <x:c r="E15" s="96" t="str">
        <x:v>기획</x:v>
      </x:c>
      <x:c r="F15" s="96" t="str">
        <x:v>조윤기</x:v>
      </x:c>
      <x:c r="G15" s="126" t="d">
        <x:v>2026-10-14T00:00:00.000Z</x:v>
      </x:c>
      <x:c r="H15" s="126" t="d">
        <x:v>2026-10-14T00:00:00.000Z</x:v>
      </x:c>
      <x:c r="I15" s="113" t="n">
        <x:f>IF(OR(G15="",H15=""),"",IF(H15&lt;G15,"일정확인",H15-G15+1))</x:f>
        <x:v>1</x:v>
      </x:c>
      <x:c r="J15" s="117" t="n">
        <x:v>1</x:v>
      </x:c>
      <x:c r="K15" s="96" t="str">
        <x:f>IF(ISNUMBER(J15),IF(J15=1,"완료",IF(J15=0,"미착수","진행중")),"")</x:f>
        <x:v>완료</x:v>
      </x:c>
      <x:c r="L15" s="119" t="str">
        <x:v>API선정표</x:v>
      </x:c>
      <x:c r="M15" s="119" t="str">
        <x:v>항목·API 조건 조사 완료</x:v>
      </x:c>
      <x:c r="N15" s="183"/>
      <x:c r="O15" s="184"/>
      <x:c r="P15" s="184"/>
      <x:c r="Q15" s="184"/>
      <x:c r="R15" s="184"/>
      <x:c r="S15" s="184"/>
      <x:c r="T15" s="184"/>
      <x:c r="U15" s="183"/>
      <x:c r="V15" s="191"/>
      <x:c r="W15" s="184"/>
      <x:c r="X15" s="184"/>
      <x:c r="Y15" s="184"/>
      <x:c r="Z15" s="184"/>
      <x:c r="AA15" s="184"/>
      <x:c r="AB15" s="184"/>
      <x:c r="AC15" s="184"/>
      <x:c r="AD15" s="184"/>
      <x:c r="AE15" s="184"/>
      <x:c r="AF15" s="184"/>
      <x:c r="AG15" s="184"/>
      <x:c r="AH15" s="184"/>
      <x:c r="AI15" s="184"/>
      <x:c r="AJ15" s="184"/>
      <x:c r="AK15" s="184"/>
      <x:c r="AL15" s="184"/>
      <x:c r="AM15" s="184"/>
      <x:c r="AN15" s="184"/>
      <x:c r="AO15" s="184"/>
      <x:c r="AP15" s="184"/>
      <x:c r="AQ15" s="184"/>
      <x:c r="AR15" s="184"/>
      <x:c r="AS15" s="184"/>
      <x:c r="AT15" s="184"/>
      <x:c r="AU15" s="184"/>
      <x:c r="AV15" s="184"/>
      <x:c r="AW15" s="184"/>
      <x:c r="AX15" s="184"/>
      <x:c r="AY15" s="184"/>
      <x:c r="AZ15" s="184"/>
      <x:c r="BA15" s="184"/>
      <x:c r="BB15" s="184"/>
      <x:c r="BC15" s="184"/>
      <x:c r="BD15" s="184"/>
      <x:c r="BE15" s="184"/>
      <x:c r="BF15" s="184"/>
      <x:c r="BG15" s="184"/>
      <x:c r="BH15" s="184"/>
      <x:c r="BI15" s="184"/>
      <x:c r="BJ15" s="184"/>
      <x:c r="BK15" s="184"/>
      <x:c r="BL15" s="184"/>
      <x:c r="BM15" s="184"/>
      <x:c r="BN15" s="184"/>
      <x:c r="BO15" s="184"/>
      <x:c r="BP15" s="184"/>
      <x:c r="BQ15" s="184"/>
      <x:c r="BR15" s="184"/>
      <x:c r="BS15" s="184"/>
      <x:c r="BT15" s="184"/>
      <x:c r="BU15" s="184"/>
      <x:c r="BV15" s="184"/>
      <x:c r="BW15" s="184"/>
      <x:c r="BX15" s="184"/>
      <x:c r="BY15" s="185"/>
    </x:row>
    <x:row r="16" ht="16.5" customHeight="1">
      <x:c r="A16"/>
      <x:c r="B16" s="166"/>
      <x:c r="C16" s="170"/>
      <x:c r="D16" s="111" t="str">
        <x:v>데이터 조회 기간·기준일·단위·출처 항목 정의</x:v>
      </x:c>
      <x:c r="E16" s="96" t="str">
        <x:v>기획</x:v>
      </x:c>
      <x:c r="F16" s="96" t="str">
        <x:v>조윤기</x:v>
      </x:c>
      <x:c r="G16" s="126" t="d">
        <x:v>2026-10-14T00:00:00.000Z</x:v>
      </x:c>
      <x:c r="H16" s="126" t="d">
        <x:v>2026-10-14T00:00:00.000Z</x:v>
      </x:c>
      <x:c r="I16" s="113" t="n">
        <x:f>IF(OR(G16="",H16=""),"",IF(H16&lt;G16,"일정확인",H16-G16+1))</x:f>
        <x:v>1</x:v>
      </x:c>
      <x:c r="J16" s="117" t="n">
        <x:v>1</x:v>
      </x:c>
      <x:c r="K16" s="96" t="str">
        <x:f>IF(ISNUMBER(J16),IF(J16=1,"완료",IF(J16=0,"미착수","진행중")),"")</x:f>
        <x:v>완료</x:v>
      </x:c>
      <x:c r="L16" s="119" t="str">
        <x:v>조회규격서</x:v>
      </x:c>
      <x:c r="M16" s="119" t="str">
        <x:v>항목·API 조건 조사 완료</x:v>
      </x:c>
      <x:c r="N16" s="183"/>
      <x:c r="O16" s="184"/>
      <x:c r="P16" s="184"/>
      <x:c r="Q16" s="184"/>
      <x:c r="R16" s="184"/>
      <x:c r="S16" s="184"/>
      <x:c r="T16" s="184"/>
      <x:c r="U16" s="183"/>
      <x:c r="V16" s="191"/>
      <x:c r="W16" s="184"/>
      <x:c r="X16" s="184"/>
      <x:c r="Y16" s="184"/>
      <x:c r="Z16" s="184"/>
      <x:c r="AA16" s="184"/>
      <x:c r="AB16" s="184"/>
      <x:c r="AC16" s="184"/>
      <x:c r="AD16" s="184"/>
      <x:c r="AE16" s="184"/>
      <x:c r="AF16" s="184"/>
      <x:c r="AG16" s="184"/>
      <x:c r="AH16" s="184"/>
      <x:c r="AI16" s="184"/>
      <x:c r="AJ16" s="184"/>
      <x:c r="AK16" s="184"/>
      <x:c r="AL16" s="184"/>
      <x:c r="AM16" s="184"/>
      <x:c r="AN16" s="184"/>
      <x:c r="AO16" s="184"/>
      <x:c r="AP16" s="184"/>
      <x:c r="AQ16" s="184"/>
      <x:c r="AR16" s="184"/>
      <x:c r="AS16" s="184"/>
      <x:c r="AT16" s="184"/>
      <x:c r="AU16" s="184"/>
      <x:c r="AV16" s="184"/>
      <x:c r="AW16" s="184"/>
      <x:c r="AX16" s="184"/>
      <x:c r="AY16" s="184"/>
      <x:c r="AZ16" s="184"/>
      <x:c r="BA16" s="184"/>
      <x:c r="BB16" s="184"/>
      <x:c r="BC16" s="184"/>
      <x:c r="BD16" s="184"/>
      <x:c r="BE16" s="184"/>
      <x:c r="BF16" s="184"/>
      <x:c r="BG16" s="184"/>
      <x:c r="BH16" s="184"/>
      <x:c r="BI16" s="184"/>
      <x:c r="BJ16" s="184"/>
      <x:c r="BK16" s="184"/>
      <x:c r="BL16" s="184"/>
      <x:c r="BM16" s="184"/>
      <x:c r="BN16" s="184"/>
      <x:c r="BO16" s="184"/>
      <x:c r="BP16" s="184"/>
      <x:c r="BQ16" s="184"/>
      <x:c r="BR16" s="184"/>
      <x:c r="BS16" s="184"/>
      <x:c r="BT16" s="184"/>
      <x:c r="BU16" s="184"/>
      <x:c r="BV16" s="184"/>
      <x:c r="BW16" s="184"/>
      <x:c r="BX16" s="184"/>
      <x:c r="BY16" s="185"/>
    </x:row>
    <x:row r="17" ht="16.5" customHeight="1">
      <x:c r="A17"/>
      <x:c r="B17" s="164" t="str">
        <x:v>시스템 및 화면 설계</x:v>
      </x:c>
      <x:c r="C17" s="167" t="str">
        <x:v>백엔드 구조 및 데이터 규격 설계</x:v>
      </x:c>
      <x:c r="D17" s="143" t="str">
        <x:v>종목·금융·뉴스 수집 모듈 구조 설계</x:v>
      </x:c>
      <x:c r="E17" s="144" t="str">
        <x:v>설계</x:v>
      </x:c>
      <x:c r="F17" s="144" t="str">
        <x:v>조윤기</x:v>
      </x:c>
      <x:c r="G17" s="145" t="d">
        <x:v>2026-10-13T00:00:00.000Z</x:v>
      </x:c>
      <x:c r="H17" s="145" t="d">
        <x:v>2026-10-13T00:00:00.000Z</x:v>
      </x:c>
      <x:c r="I17" s="146" t="n">
        <x:f>IF(OR(G17="",H17=""),"",IF(H17&lt;G17,"일정확인",H17-G17+1))</x:f>
        <x:v>1</x:v>
      </x:c>
      <x:c r="J17" s="147" t="n">
        <x:v>1</x:v>
      </x:c>
      <x:c r="K17" s="144" t="str">
        <x:f>IF(ISNUMBER(J17),IF(J17=1,"완료",IF(J17=0,"미착수","진행중")),"")</x:f>
        <x:v>완료</x:v>
      </x:c>
      <x:c r="L17" s="148" t="str">
        <x:v>구조설계도</x:v>
      </x:c>
      <x:c r="M17" s="148" t="str">
        <x:v>기본 규격·화면 설계 작성</x:v>
      </x:c>
      <x:c r="N17" s="180"/>
      <x:c r="O17" s="181"/>
      <x:c r="P17" s="181"/>
      <x:c r="Q17" s="181"/>
      <x:c r="R17" s="181"/>
      <x:c r="S17" s="181"/>
      <x:c r="T17" s="181"/>
      <x:c r="U17" s="192"/>
      <x:c r="V17" s="181"/>
      <x:c r="W17" s="181"/>
      <x:c r="X17" s="181"/>
      <x:c r="Y17" s="181"/>
      <x:c r="Z17" s="181"/>
      <x:c r="AA17" s="181"/>
      <x:c r="AB17" s="181"/>
      <x:c r="AC17" s="181"/>
      <x:c r="AD17" s="181"/>
      <x:c r="AE17" s="181"/>
      <x:c r="AF17" s="181"/>
      <x:c r="AG17" s="181"/>
      <x:c r="AH17" s="181"/>
      <x:c r="AI17" s="181"/>
      <x:c r="AJ17" s="181"/>
      <x:c r="AK17" s="181"/>
      <x:c r="AL17" s="181"/>
      <x:c r="AM17" s="181"/>
      <x:c r="AN17" s="181"/>
      <x:c r="AO17" s="181"/>
      <x:c r="AP17" s="181"/>
      <x:c r="AQ17" s="181"/>
      <x:c r="AR17" s="181"/>
      <x:c r="AS17" s="181"/>
      <x:c r="AT17" s="181"/>
      <x:c r="AU17" s="181"/>
      <x:c r="AV17" s="181"/>
      <x:c r="AW17" s="181"/>
      <x:c r="AX17" s="181"/>
      <x:c r="AY17" s="181"/>
      <x:c r="AZ17" s="181"/>
      <x:c r="BA17" s="181"/>
      <x:c r="BB17" s="181"/>
      <x:c r="BC17" s="181"/>
      <x:c r="BD17" s="181"/>
      <x:c r="BE17" s="181"/>
      <x:c r="BF17" s="181"/>
      <x:c r="BG17" s="181"/>
      <x:c r="BH17" s="181"/>
      <x:c r="BI17" s="181"/>
      <x:c r="BJ17" s="181"/>
      <x:c r="BK17" s="181"/>
      <x:c r="BL17" s="181"/>
      <x:c r="BM17" s="181"/>
      <x:c r="BN17" s="181"/>
      <x:c r="BO17" s="181"/>
      <x:c r="BP17" s="181"/>
      <x:c r="BQ17" s="181"/>
      <x:c r="BR17" s="181"/>
      <x:c r="BS17" s="181"/>
      <x:c r="BT17" s="181"/>
      <x:c r="BU17" s="181"/>
      <x:c r="BV17" s="181"/>
      <x:c r="BW17" s="181"/>
      <x:c r="BX17" s="181"/>
      <x:c r="BY17" s="182"/>
    </x:row>
    <x:row r="18" ht="16.5" customHeight="1">
      <x:c r="A18"/>
      <x:c r="B18" s="165"/>
      <x:c r="C18" s="169"/>
      <x:c r="D18" s="111" t="str">
        <x:v>데이터 수집 결과의 공통 반환 형식 설계</x:v>
      </x:c>
      <x:c r="E18" s="96" t="str">
        <x:v>설계</x:v>
      </x:c>
      <x:c r="F18" s="96" t="str">
        <x:v>조윤기</x:v>
      </x:c>
      <x:c r="G18" s="126" t="d">
        <x:v>2026-10-13T00:00:00.000Z</x:v>
      </x:c>
      <x:c r="H18" s="126" t="d">
        <x:v>2026-10-13T00:00:00.000Z</x:v>
      </x:c>
      <x:c r="I18" s="113" t="n">
        <x:f>IF(OR(G18="",H18=""),"",IF(H18&lt;G18,"일정확인",H18-G18+1))</x:f>
        <x:v>1</x:v>
      </x:c>
      <x:c r="J18" s="117" t="n">
        <x:v>1</x:v>
      </x:c>
      <x:c r="K18" s="96" t="str">
        <x:f>IF(ISNUMBER(J18),IF(J18=1,"완료",IF(J18=0,"미착수","진행중")),"")</x:f>
        <x:v>완료</x:v>
      </x:c>
      <x:c r="L18" s="119" t="str">
        <x:v>반환규격서</x:v>
      </x:c>
      <x:c r="M18" s="119" t="str">
        <x:v>기본 규격·화면 설계 작성</x:v>
      </x:c>
      <x:c r="N18" s="183"/>
      <x:c r="O18" s="184"/>
      <x:c r="P18" s="184"/>
      <x:c r="Q18" s="184"/>
      <x:c r="R18" s="184"/>
      <x:c r="S18" s="184"/>
      <x:c r="T18" s="184"/>
      <x:c r="U18" s="193"/>
      <x:c r="V18" s="184"/>
      <x:c r="W18" s="184"/>
      <x:c r="X18" s="184"/>
      <x:c r="Y18" s="184"/>
      <x:c r="Z18" s="184"/>
      <x:c r="AA18" s="184"/>
      <x:c r="AB18" s="184"/>
      <x:c r="AC18" s="184"/>
      <x:c r="AD18" s="184"/>
      <x:c r="AE18" s="184"/>
      <x:c r="AF18" s="184"/>
      <x:c r="AG18" s="184"/>
      <x:c r="AH18" s="184"/>
      <x:c r="AI18" s="184"/>
      <x:c r="AJ18" s="184"/>
      <x:c r="AK18" s="184"/>
      <x:c r="AL18" s="184"/>
      <x:c r="AM18" s="184"/>
      <x:c r="AN18" s="184"/>
      <x:c r="AO18" s="184"/>
      <x:c r="AP18" s="184"/>
      <x:c r="AQ18" s="184"/>
      <x:c r="AR18" s="184"/>
      <x:c r="AS18" s="184"/>
      <x:c r="AT18" s="184"/>
      <x:c r="AU18" s="184"/>
      <x:c r="AV18" s="184"/>
      <x:c r="AW18" s="184"/>
      <x:c r="AX18" s="184"/>
      <x:c r="AY18" s="184"/>
      <x:c r="AZ18" s="184"/>
      <x:c r="BA18" s="184"/>
      <x:c r="BB18" s="184"/>
      <x:c r="BC18" s="184"/>
      <x:c r="BD18" s="184"/>
      <x:c r="BE18" s="184"/>
      <x:c r="BF18" s="184"/>
      <x:c r="BG18" s="184"/>
      <x:c r="BH18" s="184"/>
      <x:c r="BI18" s="184"/>
      <x:c r="BJ18" s="184"/>
      <x:c r="BK18" s="184"/>
      <x:c r="BL18" s="184"/>
      <x:c r="BM18" s="184"/>
      <x:c r="BN18" s="184"/>
      <x:c r="BO18" s="184"/>
      <x:c r="BP18" s="184"/>
      <x:c r="BQ18" s="184"/>
      <x:c r="BR18" s="184"/>
      <x:c r="BS18" s="184"/>
      <x:c r="BT18" s="184"/>
      <x:c r="BU18" s="184"/>
      <x:c r="BV18" s="184"/>
      <x:c r="BW18" s="184"/>
      <x:c r="BX18" s="184"/>
      <x:c r="BY18" s="185"/>
    </x:row>
    <x:row r="19" ht="16.5" customHeight="1">
      <x:c r="A19"/>
      <x:c r="B19" s="165"/>
      <x:c r="C19" s="170"/>
      <x:c r="D19" s="111" t="str">
        <x:v>금융값 누락·요청 실패·종목 미확인 상태 규격 설계</x:v>
      </x:c>
      <x:c r="E19" s="96" t="str">
        <x:v>설계</x:v>
      </x:c>
      <x:c r="F19" s="96" t="str">
        <x:v>조윤기</x:v>
      </x:c>
      <x:c r="G19" s="126" t="d">
        <x:v>2026-10-13T00:00:00.000Z</x:v>
      </x:c>
      <x:c r="H19" s="126" t="d">
        <x:v>2026-10-13T00:00:00.000Z</x:v>
      </x:c>
      <x:c r="I19" s="113" t="n">
        <x:f>IF(OR(G19="",H19=""),"",IF(H19&lt;G19,"일정확인",H19-G19+1))</x:f>
        <x:v>1</x:v>
      </x:c>
      <x:c r="J19" s="117" t="n">
        <x:v>1</x:v>
      </x:c>
      <x:c r="K19" s="96" t="str">
        <x:f>IF(ISNUMBER(J19),IF(J19=1,"완료",IF(J19=0,"미착수","진행중")),"")</x:f>
        <x:v>완료</x:v>
      </x:c>
      <x:c r="L19" s="119" t="str">
        <x:v>상태규격서</x:v>
      </x:c>
      <x:c r="M19" s="119" t="str">
        <x:v>기본 규격·화면 설계 작성</x:v>
      </x:c>
      <x:c r="N19" s="183"/>
      <x:c r="O19" s="184"/>
      <x:c r="P19" s="184"/>
      <x:c r="Q19" s="184"/>
      <x:c r="R19" s="184"/>
      <x:c r="S19" s="184"/>
      <x:c r="T19" s="184"/>
      <x:c r="U19" s="193"/>
      <x:c r="V19" s="184"/>
      <x:c r="W19" s="184"/>
      <x:c r="X19" s="184"/>
      <x:c r="Y19" s="184"/>
      <x:c r="Z19" s="184"/>
      <x:c r="AA19" s="184"/>
      <x:c r="AB19" s="184"/>
      <x:c r="AC19" s="184"/>
      <x:c r="AD19" s="184"/>
      <x:c r="AE19" s="184"/>
      <x:c r="AF19" s="184"/>
      <x:c r="AG19" s="184"/>
      <x:c r="AH19" s="184"/>
      <x:c r="AI19" s="184"/>
      <x:c r="AJ19" s="184"/>
      <x:c r="AK19" s="184"/>
      <x:c r="AL19" s="184"/>
      <x:c r="AM19" s="184"/>
      <x:c r="AN19" s="184"/>
      <x:c r="AO19" s="184"/>
      <x:c r="AP19" s="184"/>
      <x:c r="AQ19" s="184"/>
      <x:c r="AR19" s="184"/>
      <x:c r="AS19" s="184"/>
      <x:c r="AT19" s="184"/>
      <x:c r="AU19" s="184"/>
      <x:c r="AV19" s="184"/>
      <x:c r="AW19" s="184"/>
      <x:c r="AX19" s="184"/>
      <x:c r="AY19" s="184"/>
      <x:c r="AZ19" s="184"/>
      <x:c r="BA19" s="184"/>
      <x:c r="BB19" s="184"/>
      <x:c r="BC19" s="184"/>
      <x:c r="BD19" s="184"/>
      <x:c r="BE19" s="184"/>
      <x:c r="BF19" s="184"/>
      <x:c r="BG19" s="184"/>
      <x:c r="BH19" s="184"/>
      <x:c r="BI19" s="184"/>
      <x:c r="BJ19" s="184"/>
      <x:c r="BK19" s="184"/>
      <x:c r="BL19" s="184"/>
      <x:c r="BM19" s="184"/>
      <x:c r="BN19" s="184"/>
      <x:c r="BO19" s="184"/>
      <x:c r="BP19" s="184"/>
      <x:c r="BQ19" s="184"/>
      <x:c r="BR19" s="184"/>
      <x:c r="BS19" s="184"/>
      <x:c r="BT19" s="184"/>
      <x:c r="BU19" s="184"/>
      <x:c r="BV19" s="184"/>
      <x:c r="BW19" s="184"/>
      <x:c r="BX19" s="184"/>
      <x:c r="BY19" s="185"/>
    </x:row>
    <x:row r="20" ht="16.5" customHeight="1">
      <x:c r="A20"/>
      <x:c r="B20" s="165"/>
      <x:c r="C20" s="167" t="str">
        <x:v>AI 에이전트 처리 구조 설계</x:v>
      </x:c>
      <x:c r="D20" s="143" t="str">
        <x:v>테마 기반 종목 후보 제안의 입력·출력 형식 설계</x:v>
      </x:c>
      <x:c r="E20" s="144" t="str">
        <x:v>설계</x:v>
      </x:c>
      <x:c r="F20" s="144" t="str">
        <x:v>김웅건</x:v>
      </x:c>
      <x:c r="G20" s="145" t="d">
        <x:v>2026-10-13T00:00:00.000Z</x:v>
      </x:c>
      <x:c r="H20" s="145" t="d">
        <x:v>2026-10-13T00:00:00.000Z</x:v>
      </x:c>
      <x:c r="I20" s="146" t="n">
        <x:f>IF(OR(G20="",H20=""),"",IF(H20&lt;G20,"일정확인",H20-G20+1))</x:f>
        <x:v>1</x:v>
      </x:c>
      <x:c r="J20" s="147" t="n">
        <x:v>1</x:v>
      </x:c>
      <x:c r="K20" s="144" t="str">
        <x:f>IF(ISNUMBER(J20),IF(J20=1,"완료",IF(J20=0,"미착수","진행중")),"")</x:f>
        <x:v>완료</x:v>
      </x:c>
      <x:c r="L20" s="148" t="str">
        <x:v>AI규격서</x:v>
      </x:c>
      <x:c r="M20" s="148" t="str">
        <x:v>기본 규격·화면 설계 작성</x:v>
      </x:c>
      <x:c r="N20" s="180"/>
      <x:c r="O20" s="181"/>
      <x:c r="P20" s="181"/>
      <x:c r="Q20" s="181"/>
      <x:c r="R20" s="181"/>
      <x:c r="S20" s="181"/>
      <x:c r="T20" s="181"/>
      <x:c r="U20" s="188"/>
      <x:c r="V20" s="181"/>
      <x:c r="W20" s="181"/>
      <x:c r="X20" s="181"/>
      <x:c r="Y20" s="181"/>
      <x:c r="Z20" s="181"/>
      <x:c r="AA20" s="181"/>
      <x:c r="AB20" s="181"/>
      <x:c r="AC20" s="181"/>
      <x:c r="AD20" s="181"/>
      <x:c r="AE20" s="181"/>
      <x:c r="AF20" s="181"/>
      <x:c r="AG20" s="181"/>
      <x:c r="AH20" s="181"/>
      <x:c r="AI20" s="181"/>
      <x:c r="AJ20" s="181"/>
      <x:c r="AK20" s="181"/>
      <x:c r="AL20" s="181"/>
      <x:c r="AM20" s="181"/>
      <x:c r="AN20" s="181"/>
      <x:c r="AO20" s="181"/>
      <x:c r="AP20" s="181"/>
      <x:c r="AQ20" s="181"/>
      <x:c r="AR20" s="181"/>
      <x:c r="AS20" s="181"/>
      <x:c r="AT20" s="181"/>
      <x:c r="AU20" s="181"/>
      <x:c r="AV20" s="181"/>
      <x:c r="AW20" s="181"/>
      <x:c r="AX20" s="181"/>
      <x:c r="AY20" s="181"/>
      <x:c r="AZ20" s="181"/>
      <x:c r="BA20" s="181"/>
      <x:c r="BB20" s="181"/>
      <x:c r="BC20" s="181"/>
      <x:c r="BD20" s="181"/>
      <x:c r="BE20" s="181"/>
      <x:c r="BF20" s="181"/>
      <x:c r="BG20" s="181"/>
      <x:c r="BH20" s="181"/>
      <x:c r="BI20" s="181"/>
      <x:c r="BJ20" s="181"/>
      <x:c r="BK20" s="181"/>
      <x:c r="BL20" s="181"/>
      <x:c r="BM20" s="181"/>
      <x:c r="BN20" s="181"/>
      <x:c r="BO20" s="181"/>
      <x:c r="BP20" s="181"/>
      <x:c r="BQ20" s="181"/>
      <x:c r="BR20" s="181"/>
      <x:c r="BS20" s="181"/>
      <x:c r="BT20" s="181"/>
      <x:c r="BU20" s="181"/>
      <x:c r="BV20" s="181"/>
      <x:c r="BW20" s="181"/>
      <x:c r="BX20" s="181"/>
      <x:c r="BY20" s="182"/>
    </x:row>
    <x:row r="21" ht="16.5" customHeight="1">
      <x:c r="A21"/>
      <x:c r="B21" s="165"/>
      <x:c r="C21" s="169"/>
      <x:c r="D21" s="111" t="str">
        <x:v>금융·재무·뉴스 자료를 결합하는 AI 입력 구조 설계</x:v>
      </x:c>
      <x:c r="E21" s="96" t="str">
        <x:v>설계</x:v>
      </x:c>
      <x:c r="F21" s="96" t="str">
        <x:v>김웅건</x:v>
      </x:c>
      <x:c r="G21" s="126" t="d">
        <x:v>2026-10-18T00:00:00.000Z</x:v>
      </x:c>
      <x:c r="H21" s="126" t="d">
        <x:v>2026-10-19T00:00:00.000Z</x:v>
      </x:c>
      <x:c r="I21" s="113" t="n">
        <x:f>IF(OR(G21="",H21=""),"",IF(H21&lt;G21,"일정확인",H21-G21+1))</x:f>
        <x:v>2</x:v>
      </x:c>
      <x:c r="J21" s="117"/>
      <x:c r="K21" s="96" t="str">
        <x:v>진행중</x:v>
      </x:c>
      <x:c r="L21" s="119" t="str">
        <x:v>자료설계서</x:v>
      </x:c>
      <x:c r="M21" s="119" t="str">
        <x:v>주가·뉴스만·재무 입력 전</x:v>
      </x:c>
      <x:c r="N21" s="183"/>
      <x:c r="O21" s="184"/>
      <x:c r="P21" s="184"/>
      <x:c r="Q21" s="184"/>
      <x:c r="R21" s="184"/>
      <x:c r="S21" s="184"/>
      <x:c r="T21" s="184"/>
      <x:c r="U21" s="183"/>
      <x:c r="V21" s="184"/>
      <x:c r="W21" s="184"/>
      <x:c r="X21" s="184"/>
      <x:c r="Y21" s="184"/>
      <x:c r="Z21" s="184"/>
      <x:c r="AA21" s="184"/>
      <x:c r="AB21" s="184"/>
      <x:c r="AC21" s="184"/>
      <x:c r="AD21" s="184"/>
      <x:c r="AE21" s="184"/>
      <x:c r="AF21" s="184"/>
      <x:c r="AG21" s="184"/>
      <x:c r="AH21" s="184"/>
      <x:c r="AI21" s="184"/>
      <x:c r="AJ21" s="184"/>
      <x:c r="AK21" s="184"/>
      <x:c r="AL21" s="184"/>
      <x:c r="AM21" s="184"/>
      <x:c r="AN21" s="184"/>
      <x:c r="AO21" s="184"/>
      <x:c r="AP21" s="184"/>
      <x:c r="AQ21" s="184"/>
      <x:c r="AR21" s="184"/>
      <x:c r="AS21" s="184"/>
      <x:c r="AT21" s="184"/>
      <x:c r="AU21" s="184"/>
      <x:c r="AV21" s="184"/>
      <x:c r="AW21" s="184"/>
      <x:c r="AX21" s="184"/>
      <x:c r="AY21" s="184"/>
      <x:c r="AZ21" s="184"/>
      <x:c r="BA21" s="184"/>
      <x:c r="BB21" s="184"/>
      <x:c r="BC21" s="184"/>
      <x:c r="BD21" s="184"/>
      <x:c r="BE21" s="184"/>
      <x:c r="BF21" s="184"/>
      <x:c r="BG21" s="184"/>
      <x:c r="BH21" s="184"/>
      <x:c r="BI21" s="184"/>
      <x:c r="BJ21" s="184"/>
      <x:c r="BK21" s="184"/>
      <x:c r="BL21" s="184"/>
      <x:c r="BM21" s="184"/>
      <x:c r="BN21" s="184"/>
      <x:c r="BO21" s="184"/>
      <x:c r="BP21" s="184"/>
      <x:c r="BQ21" s="184"/>
      <x:c r="BR21" s="184"/>
      <x:c r="BS21" s="184"/>
      <x:c r="BT21" s="184"/>
      <x:c r="BU21" s="184"/>
      <x:c r="BV21" s="184"/>
      <x:c r="BW21" s="184"/>
      <x:c r="BX21" s="184"/>
      <x:c r="BY21" s="185"/>
    </x:row>
    <x:row r="22" ht="16.5" customHeight="1">
      <x:c r="A22"/>
      <x:c r="B22" s="165"/>
      <x:c r="C22" s="170"/>
      <x:c r="D22" s="111" t="str">
        <x:v>분석 리포트 구성 항목 및 근거 표시 방식 설계</x:v>
      </x:c>
      <x:c r="E22" s="96" t="str">
        <x:v>설계</x:v>
      </x:c>
      <x:c r="F22" s="96" t="str">
        <x:v>김웅건</x:v>
      </x:c>
      <x:c r="G22" s="126" t="d">
        <x:v>2026-10-13T00:00:00.000Z</x:v>
      </x:c>
      <x:c r="H22" s="126" t="d">
        <x:v>2026-10-13T00:00:00.000Z</x:v>
      </x:c>
      <x:c r="I22" s="113" t="n">
        <x:f>IF(OR(G22="",H22=""),"",IF(H22&lt;G22,"일정확인",H22-G22+1))</x:f>
        <x:v>1</x:v>
      </x:c>
      <x:c r="J22" s="117" t="n">
        <x:v>1</x:v>
      </x:c>
      <x:c r="K22" s="96" t="str">
        <x:f>IF(ISNUMBER(J22),IF(J22=1,"완료",IF(J22=0,"미착수","진행중")),"")</x:f>
        <x:v>완료</x:v>
      </x:c>
      <x:c r="L22" s="119" t="str">
        <x:v>리포트양식</x:v>
      </x:c>
      <x:c r="M22" s="119" t="str">
        <x:v>기본 규격·화면 설계 작성</x:v>
      </x:c>
      <x:c r="N22" s="183"/>
      <x:c r="O22" s="184"/>
      <x:c r="P22" s="184"/>
      <x:c r="Q22" s="184"/>
      <x:c r="R22" s="184"/>
      <x:c r="S22" s="184"/>
      <x:c r="T22" s="184"/>
      <x:c r="U22" s="189"/>
      <x:c r="V22" s="184"/>
      <x:c r="W22" s="184"/>
      <x:c r="X22" s="184"/>
      <x:c r="Y22" s="184"/>
      <x:c r="Z22" s="184"/>
      <x:c r="AA22" s="184"/>
      <x:c r="AB22" s="184"/>
      <x:c r="AC22" s="184"/>
      <x:c r="AD22" s="184"/>
      <x:c r="AE22" s="184"/>
      <x:c r="AF22" s="184"/>
      <x:c r="AG22" s="184"/>
      <x:c r="AH22" s="184"/>
      <x:c r="AI22" s="184"/>
      <x:c r="AJ22" s="184"/>
      <x:c r="AK22" s="184"/>
      <x:c r="AL22" s="184"/>
      <x:c r="AM22" s="184"/>
      <x:c r="AN22" s="184"/>
      <x:c r="AO22" s="184"/>
      <x:c r="AP22" s="184"/>
      <x:c r="AQ22" s="184"/>
      <x:c r="AR22" s="184"/>
      <x:c r="AS22" s="184"/>
      <x:c r="AT22" s="184"/>
      <x:c r="AU22" s="184"/>
      <x:c r="AV22" s="184"/>
      <x:c r="AW22" s="184"/>
      <x:c r="AX22" s="184"/>
      <x:c r="AY22" s="184"/>
      <x:c r="AZ22" s="184"/>
      <x:c r="BA22" s="184"/>
      <x:c r="BB22" s="184"/>
      <x:c r="BC22" s="184"/>
      <x:c r="BD22" s="184"/>
      <x:c r="BE22" s="184"/>
      <x:c r="BF22" s="184"/>
      <x:c r="BG22" s="184"/>
      <x:c r="BH22" s="184"/>
      <x:c r="BI22" s="184"/>
      <x:c r="BJ22" s="184"/>
      <x:c r="BK22" s="184"/>
      <x:c r="BL22" s="184"/>
      <x:c r="BM22" s="184"/>
      <x:c r="BN22" s="184"/>
      <x:c r="BO22" s="184"/>
      <x:c r="BP22" s="184"/>
      <x:c r="BQ22" s="184"/>
      <x:c r="BR22" s="184"/>
      <x:c r="BS22" s="184"/>
      <x:c r="BT22" s="184"/>
      <x:c r="BU22" s="184"/>
      <x:c r="BV22" s="184"/>
      <x:c r="BW22" s="184"/>
      <x:c r="BX22" s="184"/>
      <x:c r="BY22" s="185"/>
    </x:row>
    <x:row r="23" ht="16.5" customHeight="1">
      <x:c r="A23"/>
      <x:c r="B23" s="165"/>
      <x:c r="C23" s="167" t="str">
        <x:v>사용자 화면 구조 설계</x:v>
      </x:c>
      <x:c r="D23" s="143" t="str">
        <x:v>대화형 테마 입력 영역과 결과 영역 배치 설계</x:v>
      </x:c>
      <x:c r="E23" s="144" t="str">
        <x:v>설계</x:v>
      </x:c>
      <x:c r="F23" s="144" t="str">
        <x:v>김웅건</x:v>
      </x:c>
      <x:c r="G23" s="145" t="d">
        <x:v>2026-10-13T00:00:00.000Z</x:v>
      </x:c>
      <x:c r="H23" s="145" t="d">
        <x:v>2026-10-13T00:00:00.000Z</x:v>
      </x:c>
      <x:c r="I23" s="146" t="n">
        <x:f>IF(OR(G23="",H23=""),"",IF(H23&lt;G23,"일정확인",H23-G23+1))</x:f>
        <x:v>1</x:v>
      </x:c>
      <x:c r="J23" s="147" t="n">
        <x:v>1</x:v>
      </x:c>
      <x:c r="K23" s="144" t="str">
        <x:f>IF(ISNUMBER(J23),IF(J23=1,"완료",IF(J23=0,"미착수","진행중")),"")</x:f>
        <x:v>완료</x:v>
      </x:c>
      <x:c r="L23" s="148" t="str">
        <x:v>배치설계도</x:v>
      </x:c>
      <x:c r="M23" s="148" t="str">
        <x:v>기본 규격·화면 설계 작성</x:v>
      </x:c>
      <x:c r="N23" s="180"/>
      <x:c r="O23" s="181"/>
      <x:c r="P23" s="181"/>
      <x:c r="Q23" s="181"/>
      <x:c r="R23" s="181"/>
      <x:c r="S23" s="181"/>
      <x:c r="T23" s="181"/>
      <x:c r="U23" s="188"/>
      <x:c r="V23" s="181"/>
      <x:c r="W23" s="181"/>
      <x:c r="X23" s="181"/>
      <x:c r="Y23" s="181"/>
      <x:c r="Z23" s="181"/>
      <x:c r="AA23" s="181"/>
      <x:c r="AB23" s="181"/>
      <x:c r="AC23" s="181"/>
      <x:c r="AD23" s="181"/>
      <x:c r="AE23" s="181"/>
      <x:c r="AF23" s="181"/>
      <x:c r="AG23" s="181"/>
      <x:c r="AH23" s="181"/>
      <x:c r="AI23" s="181"/>
      <x:c r="AJ23" s="181"/>
      <x:c r="AK23" s="181"/>
      <x:c r="AL23" s="181"/>
      <x:c r="AM23" s="181"/>
      <x:c r="AN23" s="181"/>
      <x:c r="AO23" s="181"/>
      <x:c r="AP23" s="181"/>
      <x:c r="AQ23" s="181"/>
      <x:c r="AR23" s="181"/>
      <x:c r="AS23" s="181"/>
      <x:c r="AT23" s="181"/>
      <x:c r="AU23" s="181"/>
      <x:c r="AV23" s="181"/>
      <x:c r="AW23" s="181"/>
      <x:c r="AX23" s="181"/>
      <x:c r="AY23" s="181"/>
      <x:c r="AZ23" s="181"/>
      <x:c r="BA23" s="181"/>
      <x:c r="BB23" s="181"/>
      <x:c r="BC23" s="181"/>
      <x:c r="BD23" s="181"/>
      <x:c r="BE23" s="181"/>
      <x:c r="BF23" s="181"/>
      <x:c r="BG23" s="181"/>
      <x:c r="BH23" s="181"/>
      <x:c r="BI23" s="181"/>
      <x:c r="BJ23" s="181"/>
      <x:c r="BK23" s="181"/>
      <x:c r="BL23" s="181"/>
      <x:c r="BM23" s="181"/>
      <x:c r="BN23" s="181"/>
      <x:c r="BO23" s="181"/>
      <x:c r="BP23" s="181"/>
      <x:c r="BQ23" s="181"/>
      <x:c r="BR23" s="181"/>
      <x:c r="BS23" s="181"/>
      <x:c r="BT23" s="181"/>
      <x:c r="BU23" s="181"/>
      <x:c r="BV23" s="181"/>
      <x:c r="BW23" s="181"/>
      <x:c r="BX23" s="181"/>
      <x:c r="BY23" s="182"/>
    </x:row>
    <x:row r="24" ht="16.5" customHeight="1">
      <x:c r="A24"/>
      <x:c r="B24" s="165"/>
      <x:c r="C24" s="169"/>
      <x:c r="D24" s="111" t="str">
        <x:v>금융 지표·재무 차트·엑셀 다운로드 화면 설계</x:v>
      </x:c>
      <x:c r="E24" s="96" t="str">
        <x:v>설계</x:v>
      </x:c>
      <x:c r="F24" s="96" t="str">
        <x:v>김웅건</x:v>
      </x:c>
      <x:c r="G24" s="126" t="d">
        <x:v>2026-10-21T00:00:00.000Z</x:v>
      </x:c>
      <x:c r="H24" s="126" t="d">
        <x:v>2026-10-22T00:00:00.000Z</x:v>
      </x:c>
      <x:c r="I24" s="113" t="n">
        <x:f>IF(OR(G24="",H24=""),"",IF(H24&lt;G24,"일정확인",H24-G24+1))</x:f>
        <x:v>2</x:v>
      </x:c>
      <x:c r="J24" s="117"/>
      <x:c r="K24" s="96" t="str">
        <x:v>진행중</x:v>
      </x:c>
      <x:c r="L24" s="119" t="str">
        <x:v>화면설계도</x:v>
      </x:c>
      <x:c r="M24" s="119" t="str">
        <x:v>기본 화면만·차트·저장 전</x:v>
      </x:c>
      <x:c r="N24" s="183"/>
      <x:c r="O24" s="184"/>
      <x:c r="P24" s="184"/>
      <x:c r="Q24" s="184"/>
      <x:c r="R24" s="184"/>
      <x:c r="S24" s="184"/>
      <x:c r="T24" s="184"/>
      <x:c r="U24" s="183"/>
      <x:c r="V24" s="184"/>
      <x:c r="W24" s="184"/>
      <x:c r="X24" s="184"/>
      <x:c r="Y24" s="184"/>
      <x:c r="Z24" s="184"/>
      <x:c r="AA24" s="184"/>
      <x:c r="AB24" s="184"/>
      <x:c r="AC24" s="184"/>
      <x:c r="AD24" s="184"/>
      <x:c r="AE24" s="184"/>
      <x:c r="AF24" s="184"/>
      <x:c r="AG24" s="184"/>
      <x:c r="AH24" s="184"/>
      <x:c r="AI24" s="184"/>
      <x:c r="AJ24" s="184"/>
      <x:c r="AK24" s="184"/>
      <x:c r="AL24" s="184"/>
      <x:c r="AM24" s="184"/>
      <x:c r="AN24" s="184"/>
      <x:c r="AO24" s="184"/>
      <x:c r="AP24" s="184"/>
      <x:c r="AQ24" s="184"/>
      <x:c r="AR24" s="184"/>
      <x:c r="AS24" s="184"/>
      <x:c r="AT24" s="184"/>
      <x:c r="AU24" s="184"/>
      <x:c r="AV24" s="184"/>
      <x:c r="AW24" s="184"/>
      <x:c r="AX24" s="184"/>
      <x:c r="AY24" s="184"/>
      <x:c r="AZ24" s="184"/>
      <x:c r="BA24" s="184"/>
      <x:c r="BB24" s="184"/>
      <x:c r="BC24" s="184"/>
      <x:c r="BD24" s="184"/>
      <x:c r="BE24" s="184"/>
      <x:c r="BF24" s="184"/>
      <x:c r="BG24" s="184"/>
      <x:c r="BH24" s="184"/>
      <x:c r="BI24" s="184"/>
      <x:c r="BJ24" s="184"/>
      <x:c r="BK24" s="184"/>
      <x:c r="BL24" s="184"/>
      <x:c r="BM24" s="184"/>
      <x:c r="BN24" s="184"/>
      <x:c r="BO24" s="184"/>
      <x:c r="BP24" s="184"/>
      <x:c r="BQ24" s="184"/>
      <x:c r="BR24" s="184"/>
      <x:c r="BS24" s="184"/>
      <x:c r="BT24" s="184"/>
      <x:c r="BU24" s="184"/>
      <x:c r="BV24" s="184"/>
      <x:c r="BW24" s="184"/>
      <x:c r="BX24" s="184"/>
      <x:c r="BY24" s="185"/>
    </x:row>
    <x:row r="25" ht="16.5" customHeight="1">
      <x:c r="A25"/>
      <x:c r="B25" s="165"/>
      <x:c r="C25" s="169"/>
      <x:c r="D25" s="111" t="str">
        <x:v>관련 뉴스·AI 설명·출처 표시 영역 설계</x:v>
      </x:c>
      <x:c r="E25" s="96" t="str">
        <x:v>설계</x:v>
      </x:c>
      <x:c r="F25" s="96" t="str">
        <x:v>김웅건</x:v>
      </x:c>
      <x:c r="G25" s="126" t="d">
        <x:v>2026-10-13T00:00:00.000Z</x:v>
      </x:c>
      <x:c r="H25" s="126" t="d">
        <x:v>2026-10-13T00:00:00.000Z</x:v>
      </x:c>
      <x:c r="I25" s="113" t="n">
        <x:f>IF(OR(G25="",H25=""),"",IF(H25&lt;G25,"일정확인",H25-G25+1))</x:f>
        <x:v>1</x:v>
      </x:c>
      <x:c r="J25" s="117" t="n">
        <x:v>1</x:v>
      </x:c>
      <x:c r="K25" s="96" t="str">
        <x:f>IF(ISNUMBER(J25),IF(J25=1,"완료",IF(J25=0,"미착수","진행중")),"")</x:f>
        <x:v>완료</x:v>
      </x:c>
      <x:c r="L25" s="119" t="str">
        <x:v>화면설계도</x:v>
      </x:c>
      <x:c r="M25" s="119" t="str">
        <x:v>기본 규격·화면 설계 작성</x:v>
      </x:c>
      <x:c r="N25" s="183"/>
      <x:c r="O25" s="184"/>
      <x:c r="P25" s="184"/>
      <x:c r="Q25" s="184"/>
      <x:c r="R25" s="184"/>
      <x:c r="S25" s="184"/>
      <x:c r="T25" s="184"/>
      <x:c r="U25" s="189"/>
      <x:c r="V25" s="184"/>
      <x:c r="W25" s="184"/>
      <x:c r="X25" s="184"/>
      <x:c r="Y25" s="184"/>
      <x:c r="Z25" s="184"/>
      <x:c r="AA25" s="184"/>
      <x:c r="AB25" s="184"/>
      <x:c r="AC25" s="184"/>
      <x:c r="AD25" s="184"/>
      <x:c r="AE25" s="184"/>
      <x:c r="AF25" s="184"/>
      <x:c r="AG25" s="184"/>
      <x:c r="AH25" s="184"/>
      <x:c r="AI25" s="184"/>
      <x:c r="AJ25" s="184"/>
      <x:c r="AK25" s="184"/>
      <x:c r="AL25" s="184"/>
      <x:c r="AM25" s="184"/>
      <x:c r="AN25" s="184"/>
      <x:c r="AO25" s="184"/>
      <x:c r="AP25" s="184"/>
      <x:c r="AQ25" s="184"/>
      <x:c r="AR25" s="184"/>
      <x:c r="AS25" s="184"/>
      <x:c r="AT25" s="184"/>
      <x:c r="AU25" s="184"/>
      <x:c r="AV25" s="184"/>
      <x:c r="AW25" s="184"/>
      <x:c r="AX25" s="184"/>
      <x:c r="AY25" s="184"/>
      <x:c r="AZ25" s="184"/>
      <x:c r="BA25" s="184"/>
      <x:c r="BB25" s="184"/>
      <x:c r="BC25" s="184"/>
      <x:c r="BD25" s="184"/>
      <x:c r="BE25" s="184"/>
      <x:c r="BF25" s="184"/>
      <x:c r="BG25" s="184"/>
      <x:c r="BH25" s="184"/>
      <x:c r="BI25" s="184"/>
      <x:c r="BJ25" s="184"/>
      <x:c r="BK25" s="184"/>
      <x:c r="BL25" s="184"/>
      <x:c r="BM25" s="184"/>
      <x:c r="BN25" s="184"/>
      <x:c r="BO25" s="184"/>
      <x:c r="BP25" s="184"/>
      <x:c r="BQ25" s="184"/>
      <x:c r="BR25" s="184"/>
      <x:c r="BS25" s="184"/>
      <x:c r="BT25" s="184"/>
      <x:c r="BU25" s="184"/>
      <x:c r="BV25" s="184"/>
      <x:c r="BW25" s="184"/>
      <x:c r="BX25" s="184"/>
      <x:c r="BY25" s="185"/>
    </x:row>
    <x:row r="26" ht="16.5" customHeight="1">
      <x:c r="A26"/>
      <x:c r="B26" s="166"/>
      <x:c r="C26" s="170"/>
      <x:c r="D26" s="111" t="str">
        <x:v>입력 대기·분석 중·결과·조회 실패 화면 상태 설계</x:v>
      </x:c>
      <x:c r="E26" s="96" t="str">
        <x:v>설계</x:v>
      </x:c>
      <x:c r="F26" s="96" t="str">
        <x:v>김웅건</x:v>
      </x:c>
      <x:c r="G26" s="126" t="d">
        <x:v>2026-10-13T00:00:00.000Z</x:v>
      </x:c>
      <x:c r="H26" s="126" t="d">
        <x:v>2026-10-13T00:00:00.000Z</x:v>
      </x:c>
      <x:c r="I26" s="113" t="n">
        <x:f>IF(OR(G26="",H26=""),"",IF(H26&lt;G26,"일정확인",H26-G26+1))</x:f>
        <x:v>1</x:v>
      </x:c>
      <x:c r="J26" s="117" t="n">
        <x:v>1</x:v>
      </x:c>
      <x:c r="K26" s="96" t="str">
        <x:f>IF(ISNUMBER(J26),IF(J26=1,"완료",IF(J26=0,"미착수","진행중")),"")</x:f>
        <x:v>완료</x:v>
      </x:c>
      <x:c r="L26" s="119" t="str">
        <x:v>상태설계도</x:v>
      </x:c>
      <x:c r="M26" s="119" t="str">
        <x:v>기본 규격·화면 설계 작성</x:v>
      </x:c>
      <x:c r="N26" s="183"/>
      <x:c r="O26" s="184"/>
      <x:c r="P26" s="184"/>
      <x:c r="Q26" s="184"/>
      <x:c r="R26" s="184"/>
      <x:c r="S26" s="184"/>
      <x:c r="T26" s="184"/>
      <x:c r="U26" s="189"/>
      <x:c r="V26" s="184"/>
      <x:c r="W26" s="184"/>
      <x:c r="X26" s="184"/>
      <x:c r="Y26" s="184"/>
      <x:c r="Z26" s="184"/>
      <x:c r="AA26" s="184"/>
      <x:c r="AB26" s="184"/>
      <x:c r="AC26" s="184"/>
      <x:c r="AD26" s="184"/>
      <x:c r="AE26" s="184"/>
      <x:c r="AF26" s="184"/>
      <x:c r="AG26" s="184"/>
      <x:c r="AH26" s="184"/>
      <x:c r="AI26" s="184"/>
      <x:c r="AJ26" s="184"/>
      <x:c r="AK26" s="184"/>
      <x:c r="AL26" s="184"/>
      <x:c r="AM26" s="184"/>
      <x:c r="AN26" s="184"/>
      <x:c r="AO26" s="184"/>
      <x:c r="AP26" s="184"/>
      <x:c r="AQ26" s="184"/>
      <x:c r="AR26" s="184"/>
      <x:c r="AS26" s="184"/>
      <x:c r="AT26" s="184"/>
      <x:c r="AU26" s="184"/>
      <x:c r="AV26" s="184"/>
      <x:c r="AW26" s="184"/>
      <x:c r="AX26" s="184"/>
      <x:c r="AY26" s="184"/>
      <x:c r="AZ26" s="184"/>
      <x:c r="BA26" s="184"/>
      <x:c r="BB26" s="184"/>
      <x:c r="BC26" s="184"/>
      <x:c r="BD26" s="184"/>
      <x:c r="BE26" s="184"/>
      <x:c r="BF26" s="184"/>
      <x:c r="BG26" s="184"/>
      <x:c r="BH26" s="184"/>
      <x:c r="BI26" s="184"/>
      <x:c r="BJ26" s="184"/>
      <x:c r="BK26" s="184"/>
      <x:c r="BL26" s="184"/>
      <x:c r="BM26" s="184"/>
      <x:c r="BN26" s="184"/>
      <x:c r="BO26" s="184"/>
      <x:c r="BP26" s="184"/>
      <x:c r="BQ26" s="184"/>
      <x:c r="BR26" s="184"/>
      <x:c r="BS26" s="184"/>
      <x:c r="BT26" s="184"/>
      <x:c r="BU26" s="184"/>
      <x:c r="BV26" s="184"/>
      <x:c r="BW26" s="184"/>
      <x:c r="BX26" s="184"/>
      <x:c r="BY26" s="185"/>
    </x:row>
    <x:row r="27" ht="16.5" customHeight="1">
      <x:c r="A27"/>
      <x:c r="B27" s="164" t="str">
        <x:v>데이터 수집 및 백엔드 개발</x:v>
      </x:c>
      <x:c r="C27" s="167" t="str">
        <x:v>상장 종목 식별 및 코드 연결</x:v>
      </x:c>
      <x:c r="D27" s="143" t="str">
        <x:v>국내 상장 종목 목록 조회 기능 구현</x:v>
      </x:c>
      <x:c r="E27" s="144" t="str">
        <x:v>종목</x:v>
      </x:c>
      <x:c r="F27" s="144" t="str">
        <x:v>조윤기</x:v>
      </x:c>
      <x:c r="G27" s="145" t="d">
        <x:v>2026-10-13T00:00:00.000Z</x:v>
      </x:c>
      <x:c r="H27" s="145" t="d">
        <x:v>2026-10-13T00:00:00.000Z</x:v>
      </x:c>
      <x:c r="I27" s="146" t="n">
        <x:f>IF(OR(G27="",H27=""),"",IF(H27&lt;G27,"일정확인",H27-G27+1))</x:f>
        <x:v>1</x:v>
      </x:c>
      <x:c r="J27" s="147" t="n">
        <x:v>1</x:v>
      </x:c>
      <x:c r="K27" s="144" t="str">
        <x:f>IF(ISNUMBER(J27),IF(J27=1,"완료",IF(J27=0,"미착수","진행중")),"")</x:f>
        <x:v>완료</x:v>
      </x:c>
      <x:c r="L27" s="148" t="str">
        <x:v>종목목록</x:v>
      </x:c>
      <x:c r="M27" s="148" t="str">
        <x:v>코드·모의검사 완료</x:v>
      </x:c>
      <x:c r="N27" s="180"/>
      <x:c r="O27" s="181"/>
      <x:c r="P27" s="181"/>
      <x:c r="Q27" s="181"/>
      <x:c r="R27" s="181"/>
      <x:c r="S27" s="181"/>
      <x:c r="T27" s="181"/>
      <x:c r="U27" s="192"/>
      <x:c r="V27" s="181"/>
      <x:c r="W27" s="181"/>
      <x:c r="X27" s="181"/>
      <x:c r="Y27" s="181"/>
      <x:c r="Z27" s="181"/>
      <x:c r="AA27" s="181"/>
      <x:c r="AB27" s="181"/>
      <x:c r="AC27" s="181"/>
      <x:c r="AD27" s="181"/>
      <x:c r="AE27" s="181"/>
      <x:c r="AF27" s="181"/>
      <x:c r="AG27" s="181"/>
      <x:c r="AH27" s="181"/>
      <x:c r="AI27" s="181"/>
      <x:c r="AJ27" s="181"/>
      <x:c r="AK27" s="181"/>
      <x:c r="AL27" s="181"/>
      <x:c r="AM27" s="181"/>
      <x:c r="AN27" s="181"/>
      <x:c r="AO27" s="181"/>
      <x:c r="AP27" s="181"/>
      <x:c r="AQ27" s="181"/>
      <x:c r="AR27" s="181"/>
      <x:c r="AS27" s="181"/>
      <x:c r="AT27" s="181"/>
      <x:c r="AU27" s="181"/>
      <x:c r="AV27" s="181"/>
      <x:c r="AW27" s="181"/>
      <x:c r="AX27" s="181"/>
      <x:c r="AY27" s="181"/>
      <x:c r="AZ27" s="181"/>
      <x:c r="BA27" s="181"/>
      <x:c r="BB27" s="181"/>
      <x:c r="BC27" s="181"/>
      <x:c r="BD27" s="181"/>
      <x:c r="BE27" s="181"/>
      <x:c r="BF27" s="181"/>
      <x:c r="BG27" s="181"/>
      <x:c r="BH27" s="181"/>
      <x:c r="BI27" s="181"/>
      <x:c r="BJ27" s="181"/>
      <x:c r="BK27" s="181"/>
      <x:c r="BL27" s="181"/>
      <x:c r="BM27" s="181"/>
      <x:c r="BN27" s="181"/>
      <x:c r="BO27" s="181"/>
      <x:c r="BP27" s="181"/>
      <x:c r="BQ27" s="181"/>
      <x:c r="BR27" s="181"/>
      <x:c r="BS27" s="181"/>
      <x:c r="BT27" s="181"/>
      <x:c r="BU27" s="181"/>
      <x:c r="BV27" s="181"/>
      <x:c r="BW27" s="181"/>
      <x:c r="BX27" s="181"/>
      <x:c r="BY27" s="182"/>
    </x:row>
    <x:row r="28" ht="16.5" customHeight="1">
      <x:c r="A28"/>
      <x:c r="B28" s="165"/>
      <x:c r="C28" s="169"/>
      <x:c r="D28" s="111" t="str">
        <x:v>AI 후보 종목명과 공식 상장 종목명 대조 기능 구현</x:v>
      </x:c>
      <x:c r="E28" s="96" t="str">
        <x:v>종목</x:v>
      </x:c>
      <x:c r="F28" s="96" t="str">
        <x:v>조윤기</x:v>
      </x:c>
      <x:c r="G28" s="126" t="d">
        <x:v>2026-10-13T00:00:00.000Z</x:v>
      </x:c>
      <x:c r="H28" s="126" t="d">
        <x:v>2026-10-13T00:00:00.000Z</x:v>
      </x:c>
      <x:c r="I28" s="113" t="n">
        <x:f>IF(OR(G28="",H28=""),"",IF(H28&lt;G28,"일정확인",H28-G28+1))</x:f>
        <x:v>1</x:v>
      </x:c>
      <x:c r="J28" s="117" t="n">
        <x:v>1</x:v>
      </x:c>
      <x:c r="K28" s="96" t="str">
        <x:f>IF(ISNUMBER(J28),IF(J28=1,"완료",IF(J28=0,"미착수","진행중")),"")</x:f>
        <x:v>완료</x:v>
      </x:c>
      <x:c r="L28" s="119" t="str">
        <x:v>종목대조</x:v>
      </x:c>
      <x:c r="M28" s="119" t="str">
        <x:v>코드·모의검사 완료</x:v>
      </x:c>
      <x:c r="N28" s="183"/>
      <x:c r="O28" s="184"/>
      <x:c r="P28" s="184"/>
      <x:c r="Q28" s="184"/>
      <x:c r="R28" s="184"/>
      <x:c r="S28" s="184"/>
      <x:c r="T28" s="184"/>
      <x:c r="U28" s="193"/>
      <x:c r="V28" s="184"/>
      <x:c r="W28" s="184"/>
      <x:c r="X28" s="184"/>
      <x:c r="Y28" s="184"/>
      <x:c r="Z28" s="184"/>
      <x:c r="AA28" s="184"/>
      <x:c r="AB28" s="184"/>
      <x:c r="AC28" s="184"/>
      <x:c r="AD28" s="184"/>
      <x:c r="AE28" s="184"/>
      <x:c r="AF28" s="184"/>
      <x:c r="AG28" s="184"/>
      <x:c r="AH28" s="184"/>
      <x:c r="AI28" s="184"/>
      <x:c r="AJ28" s="184"/>
      <x:c r="AK28" s="184"/>
      <x:c r="AL28" s="184"/>
      <x:c r="AM28" s="184"/>
      <x:c r="AN28" s="184"/>
      <x:c r="AO28" s="184"/>
      <x:c r="AP28" s="184"/>
      <x:c r="AQ28" s="184"/>
      <x:c r="AR28" s="184"/>
      <x:c r="AS28" s="184"/>
      <x:c r="AT28" s="184"/>
      <x:c r="AU28" s="184"/>
      <x:c r="AV28" s="184"/>
      <x:c r="AW28" s="184"/>
      <x:c r="AX28" s="184"/>
      <x:c r="AY28" s="184"/>
      <x:c r="AZ28" s="184"/>
      <x:c r="BA28" s="184"/>
      <x:c r="BB28" s="184"/>
      <x:c r="BC28" s="184"/>
      <x:c r="BD28" s="184"/>
      <x:c r="BE28" s="184"/>
      <x:c r="BF28" s="184"/>
      <x:c r="BG28" s="184"/>
      <x:c r="BH28" s="184"/>
      <x:c r="BI28" s="184"/>
      <x:c r="BJ28" s="184"/>
      <x:c r="BK28" s="184"/>
      <x:c r="BL28" s="184"/>
      <x:c r="BM28" s="184"/>
      <x:c r="BN28" s="184"/>
      <x:c r="BO28" s="184"/>
      <x:c r="BP28" s="184"/>
      <x:c r="BQ28" s="184"/>
      <x:c r="BR28" s="184"/>
      <x:c r="BS28" s="184"/>
      <x:c r="BT28" s="184"/>
      <x:c r="BU28" s="184"/>
      <x:c r="BV28" s="184"/>
      <x:c r="BW28" s="184"/>
      <x:c r="BX28" s="184"/>
      <x:c r="BY28" s="185"/>
    </x:row>
    <x:row r="29" ht="16.5" customHeight="1">
      <x:c r="A29"/>
      <x:c r="B29" s="165"/>
      <x:c r="C29" s="169"/>
      <x:c r="D29" s="111" t="str">
        <x:v>종목코드와 코스피·코스닥 시장 구분 기능 구현</x:v>
      </x:c>
      <x:c r="E29" s="96" t="str">
        <x:v>종목</x:v>
      </x:c>
      <x:c r="F29" s="96" t="str">
        <x:v>조윤기</x:v>
      </x:c>
      <x:c r="G29" s="126" t="d">
        <x:v>2026-10-13T00:00:00.000Z</x:v>
      </x:c>
      <x:c r="H29" s="126" t="d">
        <x:v>2026-10-13T00:00:00.000Z</x:v>
      </x:c>
      <x:c r="I29" s="113" t="n">
        <x:f>IF(OR(G29="",H29=""),"",IF(H29&lt;G29,"일정확인",H29-G29+1))</x:f>
        <x:v>1</x:v>
      </x:c>
      <x:c r="J29" s="117" t="n">
        <x:v>1</x:v>
      </x:c>
      <x:c r="K29" s="96" t="str">
        <x:f>IF(ISNUMBER(J29),IF(J29=1,"완료",IF(J29=0,"미착수","진행중")),"")</x:f>
        <x:v>완료</x:v>
      </x:c>
      <x:c r="L29" s="119" t="str">
        <x:v>시장구분</x:v>
      </x:c>
      <x:c r="M29" s="119" t="str">
        <x:v>코드·모의검사 완료</x:v>
      </x:c>
      <x:c r="N29" s="183"/>
      <x:c r="O29" s="184"/>
      <x:c r="P29" s="184"/>
      <x:c r="Q29" s="184"/>
      <x:c r="R29" s="184"/>
      <x:c r="S29" s="184"/>
      <x:c r="T29" s="184"/>
      <x:c r="U29" s="193"/>
      <x:c r="V29" s="184"/>
      <x:c r="W29" s="184"/>
      <x:c r="X29" s="184"/>
      <x:c r="Y29" s="184"/>
      <x:c r="Z29" s="184"/>
      <x:c r="AA29" s="184"/>
      <x:c r="AB29" s="184"/>
      <x:c r="AC29" s="184"/>
      <x:c r="AD29" s="184"/>
      <x:c r="AE29" s="184"/>
      <x:c r="AF29" s="184"/>
      <x:c r="AG29" s="184"/>
      <x:c r="AH29" s="184"/>
      <x:c r="AI29" s="184"/>
      <x:c r="AJ29" s="184"/>
      <x:c r="AK29" s="184"/>
      <x:c r="AL29" s="184"/>
      <x:c r="AM29" s="184"/>
      <x:c r="AN29" s="184"/>
      <x:c r="AO29" s="184"/>
      <x:c r="AP29" s="184"/>
      <x:c r="AQ29" s="184"/>
      <x:c r="AR29" s="184"/>
      <x:c r="AS29" s="184"/>
      <x:c r="AT29" s="184"/>
      <x:c r="AU29" s="184"/>
      <x:c r="AV29" s="184"/>
      <x:c r="AW29" s="184"/>
      <x:c r="AX29" s="184"/>
      <x:c r="AY29" s="184"/>
      <x:c r="AZ29" s="184"/>
      <x:c r="BA29" s="184"/>
      <x:c r="BB29" s="184"/>
      <x:c r="BC29" s="184"/>
      <x:c r="BD29" s="184"/>
      <x:c r="BE29" s="184"/>
      <x:c r="BF29" s="184"/>
      <x:c r="BG29" s="184"/>
      <x:c r="BH29" s="184"/>
      <x:c r="BI29" s="184"/>
      <x:c r="BJ29" s="184"/>
      <x:c r="BK29" s="184"/>
      <x:c r="BL29" s="184"/>
      <x:c r="BM29" s="184"/>
      <x:c r="BN29" s="184"/>
      <x:c r="BO29" s="184"/>
      <x:c r="BP29" s="184"/>
      <x:c r="BQ29" s="184"/>
      <x:c r="BR29" s="184"/>
      <x:c r="BS29" s="184"/>
      <x:c r="BT29" s="184"/>
      <x:c r="BU29" s="184"/>
      <x:c r="BV29" s="184"/>
      <x:c r="BW29" s="184"/>
      <x:c r="BX29" s="184"/>
      <x:c r="BY29" s="185"/>
    </x:row>
    <x:row r="30" ht="16.5" customHeight="1">
      <x:c r="A30"/>
      <x:c r="B30" s="165"/>
      <x:c r="C30" s="170"/>
      <x:c r="D30" s="111" t="str">
        <x:v>시장별 금융 조회 코드 변환 기능 구현</x:v>
      </x:c>
      <x:c r="E30" s="96" t="str">
        <x:v>종목</x:v>
      </x:c>
      <x:c r="F30" s="96" t="str">
        <x:v>조윤기</x:v>
      </x:c>
      <x:c r="G30" s="126" t="d">
        <x:v>2026-10-13T00:00:00.000Z</x:v>
      </x:c>
      <x:c r="H30" s="126" t="d">
        <x:v>2026-10-13T00:00:00.000Z</x:v>
      </x:c>
      <x:c r="I30" s="113" t="n">
        <x:f>IF(OR(G30="",H30=""),"",IF(H30&lt;G30,"일정확인",H30-G30+1))</x:f>
        <x:v>1</x:v>
      </x:c>
      <x:c r="J30" s="117" t="n">
        <x:v>1</x:v>
      </x:c>
      <x:c r="K30" s="96" t="str">
        <x:f>IF(ISNUMBER(J30),IF(J30=1,"완료",IF(J30=0,"미착수","진행중")),"")</x:f>
        <x:v>완료</x:v>
      </x:c>
      <x:c r="L30" s="119" t="str">
        <x:v>코드변환</x:v>
      </x:c>
      <x:c r="M30" s="119" t="str">
        <x:v>코드·모의검사 완료</x:v>
      </x:c>
      <x:c r="N30" s="183"/>
      <x:c r="O30" s="184"/>
      <x:c r="P30" s="184"/>
      <x:c r="Q30" s="184"/>
      <x:c r="R30" s="184"/>
      <x:c r="S30" s="184"/>
      <x:c r="T30" s="184"/>
      <x:c r="U30" s="193"/>
      <x:c r="V30" s="184"/>
      <x:c r="W30" s="184"/>
      <x:c r="X30" s="184"/>
      <x:c r="Y30" s="184"/>
      <x:c r="Z30" s="184"/>
      <x:c r="AA30" s="184"/>
      <x:c r="AB30" s="184"/>
      <x:c r="AC30" s="184"/>
      <x:c r="AD30" s="184"/>
      <x:c r="AE30" s="184"/>
      <x:c r="AF30" s="184"/>
      <x:c r="AG30" s="184"/>
      <x:c r="AH30" s="184"/>
      <x:c r="AI30" s="184"/>
      <x:c r="AJ30" s="184"/>
      <x:c r="AK30" s="184"/>
      <x:c r="AL30" s="184"/>
      <x:c r="AM30" s="184"/>
      <x:c r="AN30" s="184"/>
      <x:c r="AO30" s="184"/>
      <x:c r="AP30" s="184"/>
      <x:c r="AQ30" s="184"/>
      <x:c r="AR30" s="184"/>
      <x:c r="AS30" s="184"/>
      <x:c r="AT30" s="184"/>
      <x:c r="AU30" s="184"/>
      <x:c r="AV30" s="184"/>
      <x:c r="AW30" s="184"/>
      <x:c r="AX30" s="184"/>
      <x:c r="AY30" s="184"/>
      <x:c r="AZ30" s="184"/>
      <x:c r="BA30" s="184"/>
      <x:c r="BB30" s="184"/>
      <x:c r="BC30" s="184"/>
      <x:c r="BD30" s="184"/>
      <x:c r="BE30" s="184"/>
      <x:c r="BF30" s="184"/>
      <x:c r="BG30" s="184"/>
      <x:c r="BH30" s="184"/>
      <x:c r="BI30" s="184"/>
      <x:c r="BJ30" s="184"/>
      <x:c r="BK30" s="184"/>
      <x:c r="BL30" s="184"/>
      <x:c r="BM30" s="184"/>
      <x:c r="BN30" s="184"/>
      <x:c r="BO30" s="184"/>
      <x:c r="BP30" s="184"/>
      <x:c r="BQ30" s="184"/>
      <x:c r="BR30" s="184"/>
      <x:c r="BS30" s="184"/>
      <x:c r="BT30" s="184"/>
      <x:c r="BU30" s="184"/>
      <x:c r="BV30" s="184"/>
      <x:c r="BW30" s="184"/>
      <x:c r="BX30" s="184"/>
      <x:c r="BY30" s="185"/>
    </x:row>
    <x:row r="31" ht="16.5" customHeight="1">
      <x:c r="A31"/>
      <x:c r="B31" s="165"/>
      <x:c r="C31" s="167" t="str">
        <x:v>주가 및 가격 이력 수집</x:v>
      </x:c>
      <x:c r="D31" s="143" t="str">
        <x:v>대표 종목의 조회 가능한 주가 수집 기능 구현</x:v>
      </x:c>
      <x:c r="E31" s="144" t="str">
        <x:v>금융</x:v>
      </x:c>
      <x:c r="F31" s="144" t="str">
        <x:v>조윤기</x:v>
      </x:c>
      <x:c r="G31" s="145" t="d">
        <x:v>2026-10-13T00:00:00.000Z</x:v>
      </x:c>
      <x:c r="H31" s="145" t="d">
        <x:v>2026-10-13T00:00:00.000Z</x:v>
      </x:c>
      <x:c r="I31" s="146" t="n">
        <x:f>IF(OR(G31="",H31=""),"",IF(H31&lt;G31,"일정확인",H31-G31+1))</x:f>
        <x:v>1</x:v>
      </x:c>
      <x:c r="J31" s="147" t="n">
        <x:v>1</x:v>
      </x:c>
      <x:c r="K31" s="144" t="str">
        <x:f>IF(ISNUMBER(J31),IF(J31=1,"완료",IF(J31=0,"미착수","진행중")),"")</x:f>
        <x:v>완료</x:v>
      </x:c>
      <x:c r="L31" s="148" t="str">
        <x:v>주가조회</x:v>
      </x:c>
      <x:c r="M31" s="148" t="str">
        <x:v>코드·모의검사 완료</x:v>
      </x:c>
      <x:c r="N31" s="180"/>
      <x:c r="O31" s="181"/>
      <x:c r="P31" s="181"/>
      <x:c r="Q31" s="181"/>
      <x:c r="R31" s="181"/>
      <x:c r="S31" s="181"/>
      <x:c r="T31" s="181"/>
      <x:c r="U31" s="192"/>
      <x:c r="V31" s="181"/>
      <x:c r="W31" s="181"/>
      <x:c r="X31" s="181"/>
      <x:c r="Y31" s="181"/>
      <x:c r="Z31" s="181"/>
      <x:c r="AA31" s="181"/>
      <x:c r="AB31" s="181"/>
      <x:c r="AC31" s="181"/>
      <x:c r="AD31" s="181"/>
      <x:c r="AE31" s="181"/>
      <x:c r="AF31" s="181"/>
      <x:c r="AG31" s="181"/>
      <x:c r="AH31" s="181"/>
      <x:c r="AI31" s="181"/>
      <x:c r="AJ31" s="181"/>
      <x:c r="AK31" s="181"/>
      <x:c r="AL31" s="181"/>
      <x:c r="AM31" s="181"/>
      <x:c r="AN31" s="181"/>
      <x:c r="AO31" s="181"/>
      <x:c r="AP31" s="181"/>
      <x:c r="AQ31" s="181"/>
      <x:c r="AR31" s="181"/>
      <x:c r="AS31" s="181"/>
      <x:c r="AT31" s="181"/>
      <x:c r="AU31" s="181"/>
      <x:c r="AV31" s="181"/>
      <x:c r="AW31" s="181"/>
      <x:c r="AX31" s="181"/>
      <x:c r="AY31" s="181"/>
      <x:c r="AZ31" s="181"/>
      <x:c r="BA31" s="181"/>
      <x:c r="BB31" s="181"/>
      <x:c r="BC31" s="181"/>
      <x:c r="BD31" s="181"/>
      <x:c r="BE31" s="181"/>
      <x:c r="BF31" s="181"/>
      <x:c r="BG31" s="181"/>
      <x:c r="BH31" s="181"/>
      <x:c r="BI31" s="181"/>
      <x:c r="BJ31" s="181"/>
      <x:c r="BK31" s="181"/>
      <x:c r="BL31" s="181"/>
      <x:c r="BM31" s="181"/>
      <x:c r="BN31" s="181"/>
      <x:c r="BO31" s="181"/>
      <x:c r="BP31" s="181"/>
      <x:c r="BQ31" s="181"/>
      <x:c r="BR31" s="181"/>
      <x:c r="BS31" s="181"/>
      <x:c r="BT31" s="181"/>
      <x:c r="BU31" s="181"/>
      <x:c r="BV31" s="181"/>
      <x:c r="BW31" s="181"/>
      <x:c r="BX31" s="181"/>
      <x:c r="BY31" s="182"/>
    </x:row>
    <x:row r="32" ht="16.5" customHeight="1">
      <x:c r="A32"/>
      <x:c r="B32" s="165"/>
      <x:c r="C32" s="169"/>
      <x:c r="D32" s="111" t="str">
        <x:v>주가 자료의 기준 시각·통화·출처 반환 기능 구현</x:v>
      </x:c>
      <x:c r="E32" s="96" t="str">
        <x:v>금융</x:v>
      </x:c>
      <x:c r="F32" s="96" t="str">
        <x:v>조윤기</x:v>
      </x:c>
      <x:c r="G32" s="126" t="d">
        <x:v>2026-10-13T00:00:00.000Z</x:v>
      </x:c>
      <x:c r="H32" s="126" t="d">
        <x:v>2026-10-13T00:00:00.000Z</x:v>
      </x:c>
      <x:c r="I32" s="113" t="n">
        <x:f>IF(OR(G32="",H32=""),"",IF(H32&lt;G32,"일정확인",H32-G32+1))</x:f>
        <x:v>1</x:v>
      </x:c>
      <x:c r="J32" s="117" t="n">
        <x:v>1</x:v>
      </x:c>
      <x:c r="K32" s="96" t="str">
        <x:f>IF(ISNUMBER(J32),IF(J32=1,"완료",IF(J32=0,"미착수","진행중")),"")</x:f>
        <x:v>완료</x:v>
      </x:c>
      <x:c r="L32" s="119" t="str">
        <x:v>주가규격</x:v>
      </x:c>
      <x:c r="M32" s="119" t="str">
        <x:v>코드·모의검사 완료</x:v>
      </x:c>
      <x:c r="N32" s="183"/>
      <x:c r="O32" s="184"/>
      <x:c r="P32" s="184"/>
      <x:c r="Q32" s="184"/>
      <x:c r="R32" s="184"/>
      <x:c r="S32" s="184"/>
      <x:c r="T32" s="184"/>
      <x:c r="U32" s="193"/>
      <x:c r="V32" s="184"/>
      <x:c r="W32" s="184"/>
      <x:c r="X32" s="184"/>
      <x:c r="Y32" s="184"/>
      <x:c r="Z32" s="184"/>
      <x:c r="AA32" s="184"/>
      <x:c r="AB32" s="184"/>
      <x:c r="AC32" s="184"/>
      <x:c r="AD32" s="184"/>
      <x:c r="AE32" s="184"/>
      <x:c r="AF32" s="184"/>
      <x:c r="AG32" s="184"/>
      <x:c r="AH32" s="184"/>
      <x:c r="AI32" s="184"/>
      <x:c r="AJ32" s="184"/>
      <x:c r="AK32" s="184"/>
      <x:c r="AL32" s="184"/>
      <x:c r="AM32" s="184"/>
      <x:c r="AN32" s="184"/>
      <x:c r="AO32" s="184"/>
      <x:c r="AP32" s="184"/>
      <x:c r="AQ32" s="184"/>
      <x:c r="AR32" s="184"/>
      <x:c r="AS32" s="184"/>
      <x:c r="AT32" s="184"/>
      <x:c r="AU32" s="184"/>
      <x:c r="AV32" s="184"/>
      <x:c r="AW32" s="184"/>
      <x:c r="AX32" s="184"/>
      <x:c r="AY32" s="184"/>
      <x:c r="AZ32" s="184"/>
      <x:c r="BA32" s="184"/>
      <x:c r="BB32" s="184"/>
      <x:c r="BC32" s="184"/>
      <x:c r="BD32" s="184"/>
      <x:c r="BE32" s="184"/>
      <x:c r="BF32" s="184"/>
      <x:c r="BG32" s="184"/>
      <x:c r="BH32" s="184"/>
      <x:c r="BI32" s="184"/>
      <x:c r="BJ32" s="184"/>
      <x:c r="BK32" s="184"/>
      <x:c r="BL32" s="184"/>
      <x:c r="BM32" s="184"/>
      <x:c r="BN32" s="184"/>
      <x:c r="BO32" s="184"/>
      <x:c r="BP32" s="184"/>
      <x:c r="BQ32" s="184"/>
      <x:c r="BR32" s="184"/>
      <x:c r="BS32" s="184"/>
      <x:c r="BT32" s="184"/>
      <x:c r="BU32" s="184"/>
      <x:c r="BV32" s="184"/>
      <x:c r="BW32" s="184"/>
      <x:c r="BX32" s="184"/>
      <x:c r="BY32" s="185"/>
    </x:row>
    <x:row r="33" ht="16.5" customHeight="1">
      <x:c r="A33"/>
      <x:c r="B33" s="165"/>
      <x:c r="C33" s="170"/>
      <x:c r="D33" s="111" t="str">
        <x:v>이용 허용 범위 내 일별 주가·거래량 이력 수집 기능 구현</x:v>
      </x:c>
      <x:c r="E33" s="96" t="str">
        <x:v>금융</x:v>
      </x:c>
      <x:c r="F33" s="96" t="str">
        <x:v>조윤기</x:v>
      </x:c>
      <x:c r="G33" s="126" t="d">
        <x:v>2026-11-04T00:00:00.000Z</x:v>
      </x:c>
      <x:c r="H33" s="126" t="d">
        <x:v>2026-11-05T00:00:00.000Z</x:v>
      </x:c>
      <x:c r="I33" s="113" t="n">
        <x:f>IF(OR(G33="",H33=""),"",IF(H33&lt;G33,"일정확인",H33-G33+1))</x:f>
        <x:v>2</x:v>
      </x:c>
      <x:c r="J33" s="117" t="n">
        <x:v>0</x:v>
      </x:c>
      <x:c r="K33" s="96" t="str">
        <x:f>IF(ISNUMBER(J33),IF(J33=1,"완료",IF(J33=0,"미착수","진행중")),"")</x:f>
        <x:v>미착수</x:v>
      </x:c>
      <x:c r="L33" s="119" t="str">
        <x:v>가격이력</x:v>
      </x:c>
      <x:c r="M33" s="119" t="str">
        <x:v>시세 이용 조건 확인 후</x:v>
      </x:c>
      <x:c r="N33" s="183"/>
      <x:c r="O33" s="184"/>
      <x:c r="P33" s="184"/>
      <x:c r="Q33" s="184"/>
      <x:c r="R33" s="184"/>
      <x:c r="S33" s="184"/>
      <x:c r="T33" s="184"/>
      <x:c r="U33" s="183"/>
      <x:c r="V33" s="184"/>
      <x:c r="W33" s="184"/>
      <x:c r="X33" s="184"/>
      <x:c r="Y33" s="184"/>
      <x:c r="Z33" s="184"/>
      <x:c r="AA33" s="184"/>
      <x:c r="AB33" s="184"/>
      <x:c r="AC33" s="184"/>
      <x:c r="AD33" s="184"/>
      <x:c r="AE33" s="184"/>
      <x:c r="AF33" s="184"/>
      <x:c r="AG33" s="184"/>
      <x:c r="AH33" s="184"/>
      <x:c r="AI33" s="184"/>
      <x:c r="AJ33" s="184"/>
      <x:c r="AK33" s="184"/>
      <x:c r="AL33" s="184"/>
      <x:c r="AM33" s="184"/>
      <x:c r="AN33" s="184"/>
      <x:c r="AO33" s="184"/>
      <x:c r="AP33" s="184"/>
      <x:c r="AQ33" s="184"/>
      <x:c r="AR33" s="184"/>
      <x:c r="AS33" s="184"/>
      <x:c r="AT33" s="184"/>
      <x:c r="AU33" s="184"/>
      <x:c r="AV33" s="184"/>
      <x:c r="AW33" s="184"/>
      <x:c r="AX33" s="184"/>
      <x:c r="AY33" s="184"/>
      <x:c r="AZ33" s="184"/>
      <x:c r="BA33" s="184"/>
      <x:c r="BB33" s="184"/>
      <x:c r="BC33" s="184"/>
      <x:c r="BD33" s="184"/>
      <x:c r="BE33" s="184"/>
      <x:c r="BF33" s="184"/>
      <x:c r="BG33" s="184"/>
      <x:c r="BH33" s="184"/>
      <x:c r="BI33" s="184"/>
      <x:c r="BJ33" s="184"/>
      <x:c r="BK33" s="184"/>
      <x:c r="BL33" s="184"/>
      <x:c r="BM33" s="184"/>
      <x:c r="BN33" s="184"/>
      <x:c r="BO33" s="184"/>
      <x:c r="BP33" s="184"/>
      <x:c r="BQ33" s="184"/>
      <x:c r="BR33" s="184"/>
      <x:c r="BS33" s="184"/>
      <x:c r="BT33" s="184"/>
      <x:c r="BU33" s="184"/>
      <x:c r="BV33" s="184"/>
      <x:c r="BW33" s="184"/>
      <x:c r="BX33" s="184"/>
      <x:c r="BY33" s="185"/>
    </x:row>
    <x:row r="34" ht="16.5" customHeight="1">
      <x:c r="A34"/>
      <x:c r="B34" s="165"/>
      <x:c r="C34" s="167" t="str">
        <x:v>주요 금융 지표 수집</x:v>
      </x:c>
      <x:c r="D34" s="143" t="str">
        <x:v>PER 조회 및 반환 기능 구현</x:v>
      </x:c>
      <x:c r="E34" s="144" t="str">
        <x:v>금융</x:v>
      </x:c>
      <x:c r="F34" s="144" t="str">
        <x:v>조윤기</x:v>
      </x:c>
      <x:c r="G34" s="145" t="d">
        <x:v>2026-10-13T00:00:00.000Z</x:v>
      </x:c>
      <x:c r="H34" s="145" t="d">
        <x:v>2026-10-13T00:00:00.000Z</x:v>
      </x:c>
      <x:c r="I34" s="146" t="n">
        <x:f>IF(OR(G34="",H34=""),"",IF(H34&lt;G34,"일정확인",H34-G34+1))</x:f>
        <x:v>1</x:v>
      </x:c>
      <x:c r="J34" s="147" t="n">
        <x:v>1</x:v>
      </x:c>
      <x:c r="K34" s="144" t="str">
        <x:f>IF(ISNUMBER(J34),IF(J34=1,"완료",IF(J34=0,"미착수","진행중")),"")</x:f>
        <x:v>완료</x:v>
      </x:c>
      <x:c r="L34" s="148" t="str">
        <x:v>PER함수</x:v>
      </x:c>
      <x:c r="M34" s="148" t="str">
        <x:v>코드·모의검사 완료</x:v>
      </x:c>
      <x:c r="N34" s="180"/>
      <x:c r="O34" s="181"/>
      <x:c r="P34" s="181"/>
      <x:c r="Q34" s="181"/>
      <x:c r="R34" s="181"/>
      <x:c r="S34" s="181"/>
      <x:c r="T34" s="181"/>
      <x:c r="U34" s="192"/>
      <x:c r="V34" s="181"/>
      <x:c r="W34" s="181"/>
      <x:c r="X34" s="181"/>
      <x:c r="Y34" s="181"/>
      <x:c r="Z34" s="181"/>
      <x:c r="AA34" s="181"/>
      <x:c r="AB34" s="181"/>
      <x:c r="AC34" s="181"/>
      <x:c r="AD34" s="181"/>
      <x:c r="AE34" s="181"/>
      <x:c r="AF34" s="181"/>
      <x:c r="AG34" s="181"/>
      <x:c r="AH34" s="181"/>
      <x:c r="AI34" s="181"/>
      <x:c r="AJ34" s="181"/>
      <x:c r="AK34" s="181"/>
      <x:c r="AL34" s="181"/>
      <x:c r="AM34" s="181"/>
      <x:c r="AN34" s="181"/>
      <x:c r="AO34" s="181"/>
      <x:c r="AP34" s="181"/>
      <x:c r="AQ34" s="181"/>
      <x:c r="AR34" s="181"/>
      <x:c r="AS34" s="181"/>
      <x:c r="AT34" s="181"/>
      <x:c r="AU34" s="181"/>
      <x:c r="AV34" s="181"/>
      <x:c r="AW34" s="181"/>
      <x:c r="AX34" s="181"/>
      <x:c r="AY34" s="181"/>
      <x:c r="AZ34" s="181"/>
      <x:c r="BA34" s="181"/>
      <x:c r="BB34" s="181"/>
      <x:c r="BC34" s="181"/>
      <x:c r="BD34" s="181"/>
      <x:c r="BE34" s="181"/>
      <x:c r="BF34" s="181"/>
      <x:c r="BG34" s="181"/>
      <x:c r="BH34" s="181"/>
      <x:c r="BI34" s="181"/>
      <x:c r="BJ34" s="181"/>
      <x:c r="BK34" s="181"/>
      <x:c r="BL34" s="181"/>
      <x:c r="BM34" s="181"/>
      <x:c r="BN34" s="181"/>
      <x:c r="BO34" s="181"/>
      <x:c r="BP34" s="181"/>
      <x:c r="BQ34" s="181"/>
      <x:c r="BR34" s="181"/>
      <x:c r="BS34" s="181"/>
      <x:c r="BT34" s="181"/>
      <x:c r="BU34" s="181"/>
      <x:c r="BV34" s="181"/>
      <x:c r="BW34" s="181"/>
      <x:c r="BX34" s="181"/>
      <x:c r="BY34" s="182"/>
    </x:row>
    <x:row r="35" ht="16.5" customHeight="1">
      <x:c r="A35"/>
      <x:c r="B35" s="165"/>
      <x:c r="C35" s="169"/>
      <x:c r="D35" s="111" t="str">
        <x:v>PBR 조회 및 반환 기능 구현</x:v>
      </x:c>
      <x:c r="E35" s="96" t="str">
        <x:v>금융</x:v>
      </x:c>
      <x:c r="F35" s="96" t="str">
        <x:v>조윤기</x:v>
      </x:c>
      <x:c r="G35" s="126" t="d">
        <x:v>2026-11-06T00:00:00.000Z</x:v>
      </x:c>
      <x:c r="H35" s="126" t="d">
        <x:v>2026-11-07T00:00:00.000Z</x:v>
      </x:c>
      <x:c r="I35" s="113" t="n">
        <x:f>IF(OR(G35="",H35=""),"",IF(H35&lt;G35,"일정확인",H35-G35+1))</x:f>
        <x:v>2</x:v>
      </x:c>
      <x:c r="J35" s="117" t="n">
        <x:v>0</x:v>
      </x:c>
      <x:c r="K35" s="96" t="str">
        <x:f>IF(ISNUMBER(J35),IF(J35=1,"완료",IF(J35=0,"미착수","진행중")),"")</x:f>
        <x:v>미착수</x:v>
      </x:c>
      <x:c r="L35" s="119" t="str">
        <x:v>PBR함수</x:v>
      </x:c>
      <x:c r="M35" s="119" t="str">
        <x:v>제공·배포 허용 시</x:v>
      </x:c>
      <x:c r="N35" s="183"/>
      <x:c r="O35" s="184"/>
      <x:c r="P35" s="184"/>
      <x:c r="Q35" s="184"/>
      <x:c r="R35" s="184"/>
      <x:c r="S35" s="184"/>
      <x:c r="T35" s="184"/>
      <x:c r="U35" s="183"/>
      <x:c r="V35" s="184"/>
      <x:c r="W35" s="184"/>
      <x:c r="X35" s="184"/>
      <x:c r="Y35" s="184"/>
      <x:c r="Z35" s="184"/>
      <x:c r="AA35" s="184"/>
      <x:c r="AB35" s="184"/>
      <x:c r="AC35" s="184"/>
      <x:c r="AD35" s="184"/>
      <x:c r="AE35" s="184"/>
      <x:c r="AF35" s="184"/>
      <x:c r="AG35" s="184"/>
      <x:c r="AH35" s="184"/>
      <x:c r="AI35" s="184"/>
      <x:c r="AJ35" s="184"/>
      <x:c r="AK35" s="184"/>
      <x:c r="AL35" s="184"/>
      <x:c r="AM35" s="184"/>
      <x:c r="AN35" s="184"/>
      <x:c r="AO35" s="184"/>
      <x:c r="AP35" s="184"/>
      <x:c r="AQ35" s="184"/>
      <x:c r="AR35" s="184"/>
      <x:c r="AS35" s="184"/>
      <x:c r="AT35" s="184"/>
      <x:c r="AU35" s="184"/>
      <x:c r="AV35" s="184"/>
      <x:c r="AW35" s="184"/>
      <x:c r="AX35" s="184"/>
      <x:c r="AY35" s="184"/>
      <x:c r="AZ35" s="184"/>
      <x:c r="BA35" s="184"/>
      <x:c r="BB35" s="184"/>
      <x:c r="BC35" s="184"/>
      <x:c r="BD35" s="184"/>
      <x:c r="BE35" s="184"/>
      <x:c r="BF35" s="184"/>
      <x:c r="BG35" s="184"/>
      <x:c r="BH35" s="184"/>
      <x:c r="BI35" s="184"/>
      <x:c r="BJ35" s="184"/>
      <x:c r="BK35" s="184"/>
      <x:c r="BL35" s="184"/>
      <x:c r="BM35" s="184"/>
      <x:c r="BN35" s="184"/>
      <x:c r="BO35" s="184"/>
      <x:c r="BP35" s="184"/>
      <x:c r="BQ35" s="184"/>
      <x:c r="BR35" s="184"/>
      <x:c r="BS35" s="184"/>
      <x:c r="BT35" s="184"/>
      <x:c r="BU35" s="184"/>
      <x:c r="BV35" s="184"/>
      <x:c r="BW35" s="184"/>
      <x:c r="BX35" s="184"/>
      <x:c r="BY35" s="185"/>
    </x:row>
    <x:row r="36" ht="16.5" customHeight="1">
      <x:c r="A36"/>
      <x:c r="B36" s="165"/>
      <x:c r="C36" s="169"/>
      <x:c r="D36" s="111" t="str">
        <x:v>EPS 조회 및 반환 기능 구현</x:v>
      </x:c>
      <x:c r="E36" s="96" t="str">
        <x:v>금융</x:v>
      </x:c>
      <x:c r="F36" s="96" t="str">
        <x:v>조윤기</x:v>
      </x:c>
      <x:c r="G36" s="126" t="d">
        <x:v>2026-11-08T00:00:00.000Z</x:v>
      </x:c>
      <x:c r="H36" s="126" t="d">
        <x:v>2026-11-08T00:00:00.000Z</x:v>
      </x:c>
      <x:c r="I36" s="113" t="n">
        <x:f>IF(OR(G36="",H36=""),"",IF(H36&lt;G36,"일정확인",H36-G36+1))</x:f>
        <x:v>1</x:v>
      </x:c>
      <x:c r="J36" s="117" t="n">
        <x:v>0</x:v>
      </x:c>
      <x:c r="K36" s="96" t="str">
        <x:f>IF(ISNUMBER(J36),IF(J36=1,"완료",IF(J36=0,"미착수","진행중")),"")</x:f>
        <x:v>미착수</x:v>
      </x:c>
      <x:c r="L36" s="119" t="str">
        <x:v>EPS함수</x:v>
      </x:c>
      <x:c r="M36" s="119" t="str">
        <x:v>제공·배포 허용 시</x:v>
      </x:c>
      <x:c r="N36" s="183"/>
      <x:c r="O36" s="184"/>
      <x:c r="P36" s="184"/>
      <x:c r="Q36" s="184"/>
      <x:c r="R36" s="184"/>
      <x:c r="S36" s="184"/>
      <x:c r="T36" s="184"/>
      <x:c r="U36" s="183"/>
      <x:c r="V36" s="184"/>
      <x:c r="W36" s="184"/>
      <x:c r="X36" s="184"/>
      <x:c r="Y36" s="184"/>
      <x:c r="Z36" s="184"/>
      <x:c r="AA36" s="184"/>
      <x:c r="AB36" s="184"/>
      <x:c r="AC36" s="184"/>
      <x:c r="AD36" s="184"/>
      <x:c r="AE36" s="184"/>
      <x:c r="AF36" s="184"/>
      <x:c r="AG36" s="184"/>
      <x:c r="AH36" s="184"/>
      <x:c r="AI36" s="184"/>
      <x:c r="AJ36" s="184"/>
      <x:c r="AK36" s="184"/>
      <x:c r="AL36" s="184"/>
      <x:c r="AM36" s="184"/>
      <x:c r="AN36" s="184"/>
      <x:c r="AO36" s="184"/>
      <x:c r="AP36" s="184"/>
      <x:c r="AQ36" s="184"/>
      <x:c r="AR36" s="184"/>
      <x:c r="AS36" s="184"/>
      <x:c r="AT36" s="184"/>
      <x:c r="AU36" s="184"/>
      <x:c r="AV36" s="184"/>
      <x:c r="AW36" s="184"/>
      <x:c r="AX36" s="184"/>
      <x:c r="AY36" s="184"/>
      <x:c r="AZ36" s="184"/>
      <x:c r="BA36" s="184"/>
      <x:c r="BB36" s="184"/>
      <x:c r="BC36" s="184"/>
      <x:c r="BD36" s="184"/>
      <x:c r="BE36" s="184"/>
      <x:c r="BF36" s="184"/>
      <x:c r="BG36" s="184"/>
      <x:c r="BH36" s="184"/>
      <x:c r="BI36" s="184"/>
      <x:c r="BJ36" s="184"/>
      <x:c r="BK36" s="184"/>
      <x:c r="BL36" s="184"/>
      <x:c r="BM36" s="184"/>
      <x:c r="BN36" s="184"/>
      <x:c r="BO36" s="184"/>
      <x:c r="BP36" s="184"/>
      <x:c r="BQ36" s="184"/>
      <x:c r="BR36" s="184"/>
      <x:c r="BS36" s="184"/>
      <x:c r="BT36" s="184"/>
      <x:c r="BU36" s="184"/>
      <x:c r="BV36" s="184"/>
      <x:c r="BW36" s="184"/>
      <x:c r="BX36" s="184"/>
      <x:c r="BY36" s="185"/>
    </x:row>
    <x:row r="37" ht="16.5" customHeight="1">
      <x:c r="A37"/>
      <x:c r="B37" s="165"/>
      <x:c r="C37" s="169"/>
      <x:c r="D37" s="111" t="str">
        <x:v>BPS 조회 및 반환 기능 구현</x:v>
      </x:c>
      <x:c r="E37" s="96" t="str">
        <x:v>금융</x:v>
      </x:c>
      <x:c r="F37" s="96" t="str">
        <x:v>조윤기</x:v>
      </x:c>
      <x:c r="G37" s="126" t="d">
        <x:v>2026-11-09T00:00:00.000Z</x:v>
      </x:c>
      <x:c r="H37" s="126" t="d">
        <x:v>2026-11-09T00:00:00.000Z</x:v>
      </x:c>
      <x:c r="I37" s="113" t="n">
        <x:f>IF(OR(G37="",H37=""),"",IF(H37&lt;G37,"일정확인",H37-G37+1))</x:f>
        <x:v>1</x:v>
      </x:c>
      <x:c r="J37" s="117" t="n">
        <x:v>0</x:v>
      </x:c>
      <x:c r="K37" s="96" t="str">
        <x:f>IF(ISNUMBER(J37),IF(J37=1,"완료",IF(J37=0,"미착수","진행중")),"")</x:f>
        <x:v>미착수</x:v>
      </x:c>
      <x:c r="L37" s="119" t="str">
        <x:v>BPS함수</x:v>
      </x:c>
      <x:c r="M37" s="119" t="str">
        <x:v>제공·배포 허용 시</x:v>
      </x:c>
      <x:c r="N37" s="183"/>
      <x:c r="O37" s="184"/>
      <x:c r="P37" s="184"/>
      <x:c r="Q37" s="184"/>
      <x:c r="R37" s="184"/>
      <x:c r="S37" s="184"/>
      <x:c r="T37" s="184"/>
      <x:c r="U37" s="183"/>
      <x:c r="V37" s="184"/>
      <x:c r="W37" s="184"/>
      <x:c r="X37" s="184"/>
      <x:c r="Y37" s="184"/>
      <x:c r="Z37" s="184"/>
      <x:c r="AA37" s="184"/>
      <x:c r="AB37" s="184"/>
      <x:c r="AC37" s="184"/>
      <x:c r="AD37" s="184"/>
      <x:c r="AE37" s="184"/>
      <x:c r="AF37" s="184"/>
      <x:c r="AG37" s="184"/>
      <x:c r="AH37" s="184"/>
      <x:c r="AI37" s="184"/>
      <x:c r="AJ37" s="184"/>
      <x:c r="AK37" s="184"/>
      <x:c r="AL37" s="184"/>
      <x:c r="AM37" s="184"/>
      <x:c r="AN37" s="184"/>
      <x:c r="AO37" s="184"/>
      <x:c r="AP37" s="184"/>
      <x:c r="AQ37" s="184"/>
      <x:c r="AR37" s="184"/>
      <x:c r="AS37" s="184"/>
      <x:c r="AT37" s="184"/>
      <x:c r="AU37" s="184"/>
      <x:c r="AV37" s="184"/>
      <x:c r="AW37" s="184"/>
      <x:c r="AX37" s="184"/>
      <x:c r="AY37" s="184"/>
      <x:c r="AZ37" s="184"/>
      <x:c r="BA37" s="184"/>
      <x:c r="BB37" s="184"/>
      <x:c r="BC37" s="184"/>
      <x:c r="BD37" s="184"/>
      <x:c r="BE37" s="184"/>
      <x:c r="BF37" s="184"/>
      <x:c r="BG37" s="184"/>
      <x:c r="BH37" s="184"/>
      <x:c r="BI37" s="184"/>
      <x:c r="BJ37" s="184"/>
      <x:c r="BK37" s="184"/>
      <x:c r="BL37" s="184"/>
      <x:c r="BM37" s="184"/>
      <x:c r="BN37" s="184"/>
      <x:c r="BO37" s="184"/>
      <x:c r="BP37" s="184"/>
      <x:c r="BQ37" s="184"/>
      <x:c r="BR37" s="184"/>
      <x:c r="BS37" s="184"/>
      <x:c r="BT37" s="184"/>
      <x:c r="BU37" s="184"/>
      <x:c r="BV37" s="184"/>
      <x:c r="BW37" s="184"/>
      <x:c r="BX37" s="184"/>
      <x:c r="BY37" s="185"/>
    </x:row>
    <x:row r="38" ht="16.5" customHeight="1">
      <x:c r="A38"/>
      <x:c r="B38" s="165"/>
      <x:c r="C38" s="170"/>
      <x:c r="D38" s="111" t="str">
        <x:v>OpenDART ROE·수익성 지표 조회 및 반환 기능 구현</x:v>
      </x:c>
      <x:c r="E38" s="96" t="str">
        <x:v>금융</x:v>
      </x:c>
      <x:c r="F38" s="96" t="str">
        <x:v>조윤기</x:v>
      </x:c>
      <x:c r="G38" s="126" t="d">
        <x:v>2026-11-19T00:00:00.000Z</x:v>
      </x:c>
      <x:c r="H38" s="126" t="d">
        <x:v>2026-11-19T00:00:00.000Z</x:v>
      </x:c>
      <x:c r="I38" s="113" t="n">
        <x:f>IF(OR(G38="",H38=""),"",IF(H38&lt;G38,"일정확인",H38-G38+1))</x:f>
        <x:v>1</x:v>
      </x:c>
      <x:c r="J38" s="117" t="n">
        <x:v>0</x:v>
      </x:c>
      <x:c r="K38" s="96" t="str">
        <x:f>IF(ISNUMBER(J38),IF(J38=1,"완료",IF(J38=0,"미착수","진행중")),"")</x:f>
        <x:v>미착수</x:v>
      </x:c>
      <x:c r="L38" s="119" t="str">
        <x:v>ROE함수</x:v>
      </x:c>
      <x:c r="M38" s="119" t="str">
        <x:v>조회 예시만·앱 연동 전</x:v>
      </x:c>
      <x:c r="N38" s="183"/>
      <x:c r="O38" s="184"/>
      <x:c r="P38" s="184"/>
      <x:c r="Q38" s="184"/>
      <x:c r="R38" s="184"/>
      <x:c r="S38" s="184"/>
      <x:c r="T38" s="184"/>
      <x:c r="U38" s="183"/>
      <x:c r="V38" s="184"/>
      <x:c r="W38" s="184"/>
      <x:c r="X38" s="184"/>
      <x:c r="Y38" s="184"/>
      <x:c r="Z38" s="184"/>
      <x:c r="AA38" s="184"/>
      <x:c r="AB38" s="184"/>
      <x:c r="AC38" s="184"/>
      <x:c r="AD38" s="184"/>
      <x:c r="AE38" s="184"/>
      <x:c r="AF38" s="184"/>
      <x:c r="AG38" s="184"/>
      <x:c r="AH38" s="184"/>
      <x:c r="AI38" s="184"/>
      <x:c r="AJ38" s="184"/>
      <x:c r="AK38" s="184"/>
      <x:c r="AL38" s="184"/>
      <x:c r="AM38" s="184"/>
      <x:c r="AN38" s="184"/>
      <x:c r="AO38" s="184"/>
      <x:c r="AP38" s="184"/>
      <x:c r="AQ38" s="184"/>
      <x:c r="AR38" s="184"/>
      <x:c r="AS38" s="184"/>
      <x:c r="AT38" s="184"/>
      <x:c r="AU38" s="184"/>
      <x:c r="AV38" s="184"/>
      <x:c r="AW38" s="184"/>
      <x:c r="AX38" s="184"/>
      <x:c r="AY38" s="184"/>
      <x:c r="AZ38" s="184"/>
      <x:c r="BA38" s="184"/>
      <x:c r="BB38" s="184"/>
      <x:c r="BC38" s="184"/>
      <x:c r="BD38" s="184"/>
      <x:c r="BE38" s="184"/>
      <x:c r="BF38" s="184"/>
      <x:c r="BG38" s="184"/>
      <x:c r="BH38" s="184"/>
      <x:c r="BI38" s="184"/>
      <x:c r="BJ38" s="184"/>
      <x:c r="BK38" s="184"/>
      <x:c r="BL38" s="184"/>
      <x:c r="BM38" s="184"/>
      <x:c r="BN38" s="184"/>
      <x:c r="BO38" s="184"/>
      <x:c r="BP38" s="184"/>
      <x:c r="BQ38" s="184"/>
      <x:c r="BR38" s="184"/>
      <x:c r="BS38" s="184"/>
      <x:c r="BT38" s="184"/>
      <x:c r="BU38" s="184"/>
      <x:c r="BV38" s="184"/>
      <x:c r="BW38" s="184"/>
      <x:c r="BX38" s="184"/>
      <x:c r="BY38" s="185"/>
    </x:row>
    <x:row r="39" ht="16.5" customHeight="1">
      <x:c r="A39"/>
      <x:c r="B39" s="165"/>
      <x:c r="C39" s="167" t="str">
        <x:v>기업 재무제표 수집</x:v>
      </x:c>
      <x:c r="D39" s="143" t="str">
        <x:v>상장 종목코드와 DART 기업 고유번호 연결 기능 구현</x:v>
      </x:c>
      <x:c r="E39" s="144" t="str">
        <x:v>재무</x:v>
      </x:c>
      <x:c r="F39" s="144" t="str">
        <x:v>조윤기</x:v>
      </x:c>
      <x:c r="G39" s="145" t="d">
        <x:v>2026-11-11T00:00:00.000Z</x:v>
      </x:c>
      <x:c r="H39" s="145" t="d">
        <x:v>2026-11-11T00:00:00.000Z</x:v>
      </x:c>
      <x:c r="I39" s="146" t="n">
        <x:f>IF(OR(G39="",H39=""),"",IF(H39&lt;G39,"일정확인",H39-G39+1))</x:f>
        <x:v>1</x:v>
      </x:c>
      <x:c r="J39" s="147" t="n">
        <x:v>0</x:v>
      </x:c>
      <x:c r="K39" s="144" t="str">
        <x:f>IF(ISNUMBER(J39),IF(J39=1,"완료",IF(J39=0,"미착수","진행중")),"")</x:f>
        <x:v>미착수</x:v>
      </x:c>
      <x:c r="L39" s="148" t="str">
        <x:v>기업매핑</x:v>
      </x:c>
      <x:c r="M39" s="148" t="str">
        <x:v>앱 기업코드 연결 미구현</x:v>
      </x:c>
      <x:c r="N39" s="180"/>
      <x:c r="O39" s="181"/>
      <x:c r="P39" s="181"/>
      <x:c r="Q39" s="181"/>
      <x:c r="R39" s="181"/>
      <x:c r="S39" s="181"/>
      <x:c r="T39" s="181"/>
      <x:c r="U39" s="180"/>
      <x:c r="V39" s="181"/>
      <x:c r="W39" s="181"/>
      <x:c r="X39" s="181"/>
      <x:c r="Y39" s="181"/>
      <x:c r="Z39" s="181"/>
      <x:c r="AA39" s="181"/>
      <x:c r="AB39" s="181"/>
      <x:c r="AC39" s="181"/>
      <x:c r="AD39" s="181"/>
      <x:c r="AE39" s="181"/>
      <x:c r="AF39" s="181"/>
      <x:c r="AG39" s="181"/>
      <x:c r="AH39" s="181"/>
      <x:c r="AI39" s="181"/>
      <x:c r="AJ39" s="181"/>
      <x:c r="AK39" s="181"/>
      <x:c r="AL39" s="181"/>
      <x:c r="AM39" s="181"/>
      <x:c r="AN39" s="181"/>
      <x:c r="AO39" s="181"/>
      <x:c r="AP39" s="181"/>
      <x:c r="AQ39" s="181"/>
      <x:c r="AR39" s="181"/>
      <x:c r="AS39" s="181"/>
      <x:c r="AT39" s="181"/>
      <x:c r="AU39" s="181"/>
      <x:c r="AV39" s="181"/>
      <x:c r="AW39" s="181"/>
      <x:c r="AX39" s="181"/>
      <x:c r="AY39" s="181"/>
      <x:c r="AZ39" s="181"/>
      <x:c r="BA39" s="181"/>
      <x:c r="BB39" s="181"/>
      <x:c r="BC39" s="181"/>
      <x:c r="BD39" s="181"/>
      <x:c r="BE39" s="181"/>
      <x:c r="BF39" s="181"/>
      <x:c r="BG39" s="181"/>
      <x:c r="BH39" s="181"/>
      <x:c r="BI39" s="181"/>
      <x:c r="BJ39" s="181"/>
      <x:c r="BK39" s="181"/>
      <x:c r="BL39" s="181"/>
      <x:c r="BM39" s="181"/>
      <x:c r="BN39" s="181"/>
      <x:c r="BO39" s="181"/>
      <x:c r="BP39" s="181"/>
      <x:c r="BQ39" s="181"/>
      <x:c r="BR39" s="181"/>
      <x:c r="BS39" s="181"/>
      <x:c r="BT39" s="181"/>
      <x:c r="BU39" s="181"/>
      <x:c r="BV39" s="181"/>
      <x:c r="BW39" s="181"/>
      <x:c r="BX39" s="181"/>
      <x:c r="BY39" s="182"/>
    </x:row>
    <x:row r="40" ht="16.5" customHeight="1">
      <x:c r="A40"/>
      <x:c r="B40" s="165"/>
      <x:c r="C40" s="169"/>
      <x:c r="D40" s="111" t="str">
        <x:v>OpenDART 매출액·영업이익·순이익 수집 기능 구현</x:v>
      </x:c>
      <x:c r="E40" s="96" t="str">
        <x:v>재무</x:v>
      </x:c>
      <x:c r="F40" s="96" t="str">
        <x:v>조윤기</x:v>
      </x:c>
      <x:c r="G40" s="126" t="d">
        <x:v>2026-11-12T00:00:00.000Z</x:v>
      </x:c>
      <x:c r="H40" s="126" t="d">
        <x:v>2026-11-13T00:00:00.000Z</x:v>
      </x:c>
      <x:c r="I40" s="113" t="n">
        <x:f>IF(OR(G40="",H40=""),"",IF(H40&lt;G40,"일정확인",H40-G40+1))</x:f>
        <x:v>2</x:v>
      </x:c>
      <x:c r="J40" s="117" t="n">
        <x:v>0</x:v>
      </x:c>
      <x:c r="K40" s="96" t="str">
        <x:f>IF(ISNUMBER(J40),IF(J40=1,"완료",IF(J40=0,"미착수","진행중")),"")</x:f>
        <x:v>미착수</x:v>
      </x:c>
      <x:c r="L40" s="119" t="str">
        <x:v>손익자료</x:v>
      </x:c>
      <x:c r="M40" s="119" t="str">
        <x:v>조회 예시만·앱 연동 전</x:v>
      </x:c>
      <x:c r="N40" s="183"/>
      <x:c r="O40" s="184"/>
      <x:c r="P40" s="184"/>
      <x:c r="Q40" s="184"/>
      <x:c r="R40" s="184"/>
      <x:c r="S40" s="184"/>
      <x:c r="T40" s="184"/>
      <x:c r="U40" s="183"/>
      <x:c r="V40" s="184"/>
      <x:c r="W40" s="184"/>
      <x:c r="X40" s="184"/>
      <x:c r="Y40" s="184"/>
      <x:c r="Z40" s="184"/>
      <x:c r="AA40" s="184"/>
      <x:c r="AB40" s="184"/>
      <x:c r="AC40" s="184"/>
      <x:c r="AD40" s="184"/>
      <x:c r="AE40" s="184"/>
      <x:c r="AF40" s="184"/>
      <x:c r="AG40" s="184"/>
      <x:c r="AH40" s="184"/>
      <x:c r="AI40" s="184"/>
      <x:c r="AJ40" s="184"/>
      <x:c r="AK40" s="184"/>
      <x:c r="AL40" s="184"/>
      <x:c r="AM40" s="184"/>
      <x:c r="AN40" s="184"/>
      <x:c r="AO40" s="184"/>
      <x:c r="AP40" s="184"/>
      <x:c r="AQ40" s="184"/>
      <x:c r="AR40" s="184"/>
      <x:c r="AS40" s="184"/>
      <x:c r="AT40" s="184"/>
      <x:c r="AU40" s="184"/>
      <x:c r="AV40" s="184"/>
      <x:c r="AW40" s="184"/>
      <x:c r="AX40" s="184"/>
      <x:c r="AY40" s="184"/>
      <x:c r="AZ40" s="184"/>
      <x:c r="BA40" s="184"/>
      <x:c r="BB40" s="184"/>
      <x:c r="BC40" s="184"/>
      <x:c r="BD40" s="184"/>
      <x:c r="BE40" s="184"/>
      <x:c r="BF40" s="184"/>
      <x:c r="BG40" s="184"/>
      <x:c r="BH40" s="184"/>
      <x:c r="BI40" s="184"/>
      <x:c r="BJ40" s="184"/>
      <x:c r="BK40" s="184"/>
      <x:c r="BL40" s="184"/>
      <x:c r="BM40" s="184"/>
      <x:c r="BN40" s="184"/>
      <x:c r="BO40" s="184"/>
      <x:c r="BP40" s="184"/>
      <x:c r="BQ40" s="184"/>
      <x:c r="BR40" s="184"/>
      <x:c r="BS40" s="184"/>
      <x:c r="BT40" s="184"/>
      <x:c r="BU40" s="184"/>
      <x:c r="BV40" s="184"/>
      <x:c r="BW40" s="184"/>
      <x:c r="BX40" s="184"/>
      <x:c r="BY40" s="185"/>
    </x:row>
    <x:row r="41" ht="16.5" customHeight="1">
      <x:c r="A41"/>
      <x:c r="B41" s="165"/>
      <x:c r="C41" s="169"/>
      <x:c r="D41" s="111" t="str">
        <x:v>자산·부채·자본 수집 기능 구현</x:v>
      </x:c>
      <x:c r="E41" s="96" t="str">
        <x:v>재무</x:v>
      </x:c>
      <x:c r="F41" s="96" t="str">
        <x:v>조윤기</x:v>
      </x:c>
      <x:c r="G41" s="126" t="d">
        <x:v>2026-11-14T00:00:00.000Z</x:v>
      </x:c>
      <x:c r="H41" s="126" t="d">
        <x:v>2026-11-15T00:00:00.000Z</x:v>
      </x:c>
      <x:c r="I41" s="113" t="n">
        <x:f>IF(OR(G41="",H41=""),"",IF(H41&lt;G41,"일정확인",H41-G41+1))</x:f>
        <x:v>2</x:v>
      </x:c>
      <x:c r="J41" s="117" t="n">
        <x:v>0</x:v>
      </x:c>
      <x:c r="K41" s="96" t="str">
        <x:f>IF(ISNUMBER(J41),IF(J41=1,"완료",IF(J41=0,"미착수","진행중")),"")</x:f>
        <x:v>미착수</x:v>
      </x:c>
      <x:c r="L41" s="119" t="str">
        <x:v>재무자료</x:v>
      </x:c>
      <x:c r="M41" s="119" t="str">
        <x:v>조회 예시만·앱 연동 전</x:v>
      </x:c>
      <x:c r="N41" s="183"/>
      <x:c r="O41" s="184"/>
      <x:c r="P41" s="184"/>
      <x:c r="Q41" s="184"/>
      <x:c r="R41" s="184"/>
      <x:c r="S41" s="184"/>
      <x:c r="T41" s="184"/>
      <x:c r="U41" s="183"/>
      <x:c r="V41" s="184"/>
      <x:c r="W41" s="184"/>
      <x:c r="X41" s="184"/>
      <x:c r="Y41" s="184"/>
      <x:c r="Z41" s="184"/>
      <x:c r="AA41" s="184"/>
      <x:c r="AB41" s="184"/>
      <x:c r="AC41" s="184"/>
      <x:c r="AD41" s="184"/>
      <x:c r="AE41" s="184"/>
      <x:c r="AF41" s="184"/>
      <x:c r="AG41" s="184"/>
      <x:c r="AH41" s="184"/>
      <x:c r="AI41" s="184"/>
      <x:c r="AJ41" s="184"/>
      <x:c r="AK41" s="184"/>
      <x:c r="AL41" s="184"/>
      <x:c r="AM41" s="184"/>
      <x:c r="AN41" s="184"/>
      <x:c r="AO41" s="184"/>
      <x:c r="AP41" s="184"/>
      <x:c r="AQ41" s="184"/>
      <x:c r="AR41" s="184"/>
      <x:c r="AS41" s="184"/>
      <x:c r="AT41" s="184"/>
      <x:c r="AU41" s="184"/>
      <x:c r="AV41" s="184"/>
      <x:c r="AW41" s="184"/>
      <x:c r="AX41" s="184"/>
      <x:c r="AY41" s="184"/>
      <x:c r="AZ41" s="184"/>
      <x:c r="BA41" s="184"/>
      <x:c r="BB41" s="184"/>
      <x:c r="BC41" s="184"/>
      <x:c r="BD41" s="184"/>
      <x:c r="BE41" s="184"/>
      <x:c r="BF41" s="184"/>
      <x:c r="BG41" s="184"/>
      <x:c r="BH41" s="184"/>
      <x:c r="BI41" s="184"/>
      <x:c r="BJ41" s="184"/>
      <x:c r="BK41" s="184"/>
      <x:c r="BL41" s="184"/>
      <x:c r="BM41" s="184"/>
      <x:c r="BN41" s="184"/>
      <x:c r="BO41" s="184"/>
      <x:c r="BP41" s="184"/>
      <x:c r="BQ41" s="184"/>
      <x:c r="BR41" s="184"/>
      <x:c r="BS41" s="184"/>
      <x:c r="BT41" s="184"/>
      <x:c r="BU41" s="184"/>
      <x:c r="BV41" s="184"/>
      <x:c r="BW41" s="184"/>
      <x:c r="BX41" s="184"/>
      <x:c r="BY41" s="185"/>
    </x:row>
    <x:row r="42" ht="16.5" customHeight="1">
      <x:c r="A42"/>
      <x:c r="B42" s="165"/>
      <x:c r="C42" s="169"/>
      <x:c r="D42" s="111" t="str">
        <x:v>영업·투자·재무활동 현금흐름 수집 기능 구현</x:v>
      </x:c>
      <x:c r="E42" s="96" t="str">
        <x:v>재무</x:v>
      </x:c>
      <x:c r="F42" s="96" t="str">
        <x:v>조윤기</x:v>
      </x:c>
      <x:c r="G42" s="126" t="d">
        <x:v>2026-11-16T00:00:00.000Z</x:v>
      </x:c>
      <x:c r="H42" s="126" t="d">
        <x:v>2026-11-16T00:00:00.000Z</x:v>
      </x:c>
      <x:c r="I42" s="113" t="n">
        <x:f>IF(OR(G42="",H42=""),"",IF(H42&lt;G42,"일정확인",H42-G42+1))</x:f>
        <x:v>1</x:v>
      </x:c>
      <x:c r="J42" s="117" t="n">
        <x:v>0</x:v>
      </x:c>
      <x:c r="K42" s="96" t="str">
        <x:f>IF(ISNUMBER(J42),IF(J42=1,"완료",IF(J42=0,"미착수","진행중")),"")</x:f>
        <x:v>미착수</x:v>
      </x:c>
      <x:c r="L42" s="119" t="str">
        <x:v>현금흐름</x:v>
      </x:c>
      <x:c r="M42" s="119" t="str">
        <x:v>OpenDART 무료 조회</x:v>
      </x:c>
      <x:c r="N42" s="183"/>
      <x:c r="O42" s="184"/>
      <x:c r="P42" s="184"/>
      <x:c r="Q42" s="184"/>
      <x:c r="R42" s="184"/>
      <x:c r="S42" s="184"/>
      <x:c r="T42" s="184"/>
      <x:c r="U42" s="183"/>
      <x:c r="V42" s="184"/>
      <x:c r="W42" s="184"/>
      <x:c r="X42" s="184"/>
      <x:c r="Y42" s="184"/>
      <x:c r="Z42" s="184"/>
      <x:c r="AA42" s="184"/>
      <x:c r="AB42" s="184"/>
      <x:c r="AC42" s="184"/>
      <x:c r="AD42" s="184"/>
      <x:c r="AE42" s="184"/>
      <x:c r="AF42" s="184"/>
      <x:c r="AG42" s="184"/>
      <x:c r="AH42" s="184"/>
      <x:c r="AI42" s="184"/>
      <x:c r="AJ42" s="184"/>
      <x:c r="AK42" s="184"/>
      <x:c r="AL42" s="184"/>
      <x:c r="AM42" s="184"/>
      <x:c r="AN42" s="184"/>
      <x:c r="AO42" s="184"/>
      <x:c r="AP42" s="184"/>
      <x:c r="AQ42" s="184"/>
      <x:c r="AR42" s="184"/>
      <x:c r="AS42" s="184"/>
      <x:c r="AT42" s="184"/>
      <x:c r="AU42" s="184"/>
      <x:c r="AV42" s="184"/>
      <x:c r="AW42" s="184"/>
      <x:c r="AX42" s="184"/>
      <x:c r="AY42" s="184"/>
      <x:c r="AZ42" s="184"/>
      <x:c r="BA42" s="184"/>
      <x:c r="BB42" s="184"/>
      <x:c r="BC42" s="184"/>
      <x:c r="BD42" s="184"/>
      <x:c r="BE42" s="184"/>
      <x:c r="BF42" s="184"/>
      <x:c r="BG42" s="184"/>
      <x:c r="BH42" s="184"/>
      <x:c r="BI42" s="184"/>
      <x:c r="BJ42" s="184"/>
      <x:c r="BK42" s="184"/>
      <x:c r="BL42" s="184"/>
      <x:c r="BM42" s="184"/>
      <x:c r="BN42" s="184"/>
      <x:c r="BO42" s="184"/>
      <x:c r="BP42" s="184"/>
      <x:c r="BQ42" s="184"/>
      <x:c r="BR42" s="184"/>
      <x:c r="BS42" s="184"/>
      <x:c r="BT42" s="184"/>
      <x:c r="BU42" s="184"/>
      <x:c r="BV42" s="184"/>
      <x:c r="BW42" s="184"/>
      <x:c r="BX42" s="184"/>
      <x:c r="BY42" s="185"/>
    </x:row>
    <x:row r="43" ht="16.5" customHeight="1">
      <x:c r="A43"/>
      <x:c r="B43" s="165"/>
      <x:c r="C43" s="169"/>
      <x:c r="D43" s="111" t="str">
        <x:v>연간·분기·누적 및 연결·별도 재무제표 구분 기능 구현</x:v>
      </x:c>
      <x:c r="E43" s="96" t="str">
        <x:v>재무</x:v>
      </x:c>
      <x:c r="F43" s="96" t="str">
        <x:v>조윤기</x:v>
      </x:c>
      <x:c r="G43" s="126" t="d">
        <x:v>2026-11-17T00:00:00.000Z</x:v>
      </x:c>
      <x:c r="H43" s="126" t="d">
        <x:v>2026-11-17T00:00:00.000Z</x:v>
      </x:c>
      <x:c r="I43" s="113" t="n">
        <x:f>IF(OR(G43="",H43=""),"",IF(H43&lt;G43,"일정확인",H43-G43+1))</x:f>
        <x:v>1</x:v>
      </x:c>
      <x:c r="J43" s="117" t="n">
        <x:v>0</x:v>
      </x:c>
      <x:c r="K43" s="96" t="str">
        <x:f>IF(ISNUMBER(J43),IF(J43=1,"완료",IF(J43=0,"미착수","진행중")),"")</x:f>
        <x:v>미착수</x:v>
      </x:c>
      <x:c r="L43" s="119" t="str">
        <x:v>기간구분</x:v>
      </x:c>
      <x:c r="M43" s="119" t="str">
        <x:v>연결·별도/누적 구분</x:v>
      </x:c>
      <x:c r="N43" s="183"/>
      <x:c r="O43" s="184"/>
      <x:c r="P43" s="184"/>
      <x:c r="Q43" s="184"/>
      <x:c r="R43" s="184"/>
      <x:c r="S43" s="184"/>
      <x:c r="T43" s="184"/>
      <x:c r="U43" s="183"/>
      <x:c r="V43" s="184"/>
      <x:c r="W43" s="184"/>
      <x:c r="X43" s="184"/>
      <x:c r="Y43" s="184"/>
      <x:c r="Z43" s="184"/>
      <x:c r="AA43" s="184"/>
      <x:c r="AB43" s="184"/>
      <x:c r="AC43" s="184"/>
      <x:c r="AD43" s="184"/>
      <x:c r="AE43" s="184"/>
      <x:c r="AF43" s="184"/>
      <x:c r="AG43" s="184"/>
      <x:c r="AH43" s="184"/>
      <x:c r="AI43" s="184"/>
      <x:c r="AJ43" s="184"/>
      <x:c r="AK43" s="184"/>
      <x:c r="AL43" s="184"/>
      <x:c r="AM43" s="184"/>
      <x:c r="AN43" s="184"/>
      <x:c r="AO43" s="184"/>
      <x:c r="AP43" s="184"/>
      <x:c r="AQ43" s="184"/>
      <x:c r="AR43" s="184"/>
      <x:c r="AS43" s="184"/>
      <x:c r="AT43" s="184"/>
      <x:c r="AU43" s="184"/>
      <x:c r="AV43" s="184"/>
      <x:c r="AW43" s="184"/>
      <x:c r="AX43" s="184"/>
      <x:c r="AY43" s="184"/>
      <x:c r="AZ43" s="184"/>
      <x:c r="BA43" s="184"/>
      <x:c r="BB43" s="184"/>
      <x:c r="BC43" s="184"/>
      <x:c r="BD43" s="184"/>
      <x:c r="BE43" s="184"/>
      <x:c r="BF43" s="184"/>
      <x:c r="BG43" s="184"/>
      <x:c r="BH43" s="184"/>
      <x:c r="BI43" s="184"/>
      <x:c r="BJ43" s="184"/>
      <x:c r="BK43" s="184"/>
      <x:c r="BL43" s="184"/>
      <x:c r="BM43" s="184"/>
      <x:c r="BN43" s="184"/>
      <x:c r="BO43" s="184"/>
      <x:c r="BP43" s="184"/>
      <x:c r="BQ43" s="184"/>
      <x:c r="BR43" s="184"/>
      <x:c r="BS43" s="184"/>
      <x:c r="BT43" s="184"/>
      <x:c r="BU43" s="184"/>
      <x:c r="BV43" s="184"/>
      <x:c r="BW43" s="184"/>
      <x:c r="BX43" s="184"/>
      <x:c r="BY43" s="185"/>
    </x:row>
    <x:row r="44" ht="16.5" customHeight="1">
      <x:c r="A44"/>
      <x:c r="B44" s="165"/>
      <x:c r="C44" s="170"/>
      <x:c r="D44" s="111" t="str">
        <x:v>재무제표 금액·기간·계정·출처 표준화 기능 구현</x:v>
      </x:c>
      <x:c r="E44" s="96" t="str">
        <x:v>재무</x:v>
      </x:c>
      <x:c r="F44" s="96" t="str">
        <x:v>조윤기</x:v>
      </x:c>
      <x:c r="G44" s="126" t="d">
        <x:v>2026-11-18T00:00:00.000Z</x:v>
      </x:c>
      <x:c r="H44" s="126" t="d">
        <x:v>2026-11-18T00:00:00.000Z</x:v>
      </x:c>
      <x:c r="I44" s="113" t="n">
        <x:f>IF(OR(G44="",H44=""),"",IF(H44&lt;G44,"일정확인",H44-G44+1))</x:f>
        <x:v>1</x:v>
      </x:c>
      <x:c r="J44" s="117" t="n">
        <x:v>0</x:v>
      </x:c>
      <x:c r="K44" s="96" t="str">
        <x:f>IF(ISNUMBER(J44),IF(J44=1,"완료",IF(J44=0,"미착수","진행중")),"")</x:f>
        <x:v>미착수</x:v>
      </x:c>
      <x:c r="L44" s="119" t="str">
        <x:v>재무규격</x:v>
      </x:c>
      <x:c r="M44" s="119" t="str">
        <x:v>기간·단위·출처 유지</x:v>
      </x:c>
      <x:c r="N44" s="183"/>
      <x:c r="O44" s="184"/>
      <x:c r="P44" s="184"/>
      <x:c r="Q44" s="184"/>
      <x:c r="R44" s="184"/>
      <x:c r="S44" s="184"/>
      <x:c r="T44" s="184"/>
      <x:c r="U44" s="183"/>
      <x:c r="V44" s="184"/>
      <x:c r="W44" s="184"/>
      <x:c r="X44" s="184"/>
      <x:c r="Y44" s="184"/>
      <x:c r="Z44" s="184"/>
      <x:c r="AA44" s="184"/>
      <x:c r="AB44" s="184"/>
      <x:c r="AC44" s="184"/>
      <x:c r="AD44" s="184"/>
      <x:c r="AE44" s="184"/>
      <x:c r="AF44" s="184"/>
      <x:c r="AG44" s="184"/>
      <x:c r="AH44" s="184"/>
      <x:c r="AI44" s="184"/>
      <x:c r="AJ44" s="184"/>
      <x:c r="AK44" s="184"/>
      <x:c r="AL44" s="184"/>
      <x:c r="AM44" s="184"/>
      <x:c r="AN44" s="184"/>
      <x:c r="AO44" s="184"/>
      <x:c r="AP44" s="184"/>
      <x:c r="AQ44" s="184"/>
      <x:c r="AR44" s="184"/>
      <x:c r="AS44" s="184"/>
      <x:c r="AT44" s="184"/>
      <x:c r="AU44" s="184"/>
      <x:c r="AV44" s="184"/>
      <x:c r="AW44" s="184"/>
      <x:c r="AX44" s="184"/>
      <x:c r="AY44" s="184"/>
      <x:c r="AZ44" s="184"/>
      <x:c r="BA44" s="184"/>
      <x:c r="BB44" s="184"/>
      <x:c r="BC44" s="184"/>
      <x:c r="BD44" s="184"/>
      <x:c r="BE44" s="184"/>
      <x:c r="BF44" s="184"/>
      <x:c r="BG44" s="184"/>
      <x:c r="BH44" s="184"/>
      <x:c r="BI44" s="184"/>
      <x:c r="BJ44" s="184"/>
      <x:c r="BK44" s="184"/>
      <x:c r="BL44" s="184"/>
      <x:c r="BM44" s="184"/>
      <x:c r="BN44" s="184"/>
      <x:c r="BO44" s="184"/>
      <x:c r="BP44" s="184"/>
      <x:c r="BQ44" s="184"/>
      <x:c r="BR44" s="184"/>
      <x:c r="BS44" s="184"/>
      <x:c r="BT44" s="184"/>
      <x:c r="BU44" s="184"/>
      <x:c r="BV44" s="184"/>
      <x:c r="BW44" s="184"/>
      <x:c r="BX44" s="184"/>
      <x:c r="BY44" s="185"/>
    </x:row>
    <x:row r="45" ht="16.5" customHeight="1">
      <x:c r="A45"/>
      <x:c r="B45" s="165"/>
      <x:c r="C45" s="168" t="str">
        <x:v>재무지표 계산 및 이력 구성</x:v>
      </x:c>
      <x:c r="D45" s="111" t="str">
        <x:v>영업이익률·순이익률 계산 및 반환 기능 구현</x:v>
      </x:c>
      <x:c r="E45" s="96" t="str">
        <x:v>재무</x:v>
      </x:c>
      <x:c r="F45" s="96" t="str">
        <x:v>조윤기</x:v>
      </x:c>
      <x:c r="G45" s="126" t="d">
        <x:v>2026-11-19T00:00:00.000Z</x:v>
      </x:c>
      <x:c r="H45" s="126" t="d">
        <x:v>2026-11-19T00:00:00.000Z</x:v>
      </x:c>
      <x:c r="I45" s="113" t="n">
        <x:f>IF(OR(G45="",H45=""),"",IF(H45&lt;G45,"일정확인",H45-G45+1))</x:f>
        <x:v>1</x:v>
      </x:c>
      <x:c r="J45" s="117" t="n">
        <x:v>0</x:v>
      </x:c>
      <x:c r="K45" s="96" t="str">
        <x:f>IF(ISNUMBER(J45),IF(J45=1,"완료",IF(J45=0,"미착수","진행중")),"")</x:f>
        <x:v>미착수</x:v>
      </x:c>
      <x:c r="L45" s="119" t="str">
        <x:v>이익률함수</x:v>
      </x:c>
      <x:c r="M45" s="119" t="str">
        <x:v>계산 예시만·앱 연동 전</x:v>
      </x:c>
      <x:c r="N45" s="183"/>
      <x:c r="O45" s="184"/>
      <x:c r="P45" s="184"/>
      <x:c r="Q45" s="184"/>
      <x:c r="R45" s="184"/>
      <x:c r="S45" s="184"/>
      <x:c r="T45" s="184"/>
      <x:c r="U45" s="183"/>
      <x:c r="V45" s="184"/>
      <x:c r="W45" s="184"/>
      <x:c r="X45" s="184"/>
      <x:c r="Y45" s="184"/>
      <x:c r="Z45" s="184"/>
      <x:c r="AA45" s="184"/>
      <x:c r="AB45" s="184"/>
      <x:c r="AC45" s="184"/>
      <x:c r="AD45" s="184"/>
      <x:c r="AE45" s="184"/>
      <x:c r="AF45" s="184"/>
      <x:c r="AG45" s="184"/>
      <x:c r="AH45" s="184"/>
      <x:c r="AI45" s="184"/>
      <x:c r="AJ45" s="184"/>
      <x:c r="AK45" s="184"/>
      <x:c r="AL45" s="184"/>
      <x:c r="AM45" s="184"/>
      <x:c r="AN45" s="184"/>
      <x:c r="AO45" s="184"/>
      <x:c r="AP45" s="184"/>
      <x:c r="AQ45" s="184"/>
      <x:c r="AR45" s="184"/>
      <x:c r="AS45" s="184"/>
      <x:c r="AT45" s="184"/>
      <x:c r="AU45" s="184"/>
      <x:c r="AV45" s="184"/>
      <x:c r="AW45" s="184"/>
      <x:c r="AX45" s="184"/>
      <x:c r="AY45" s="184"/>
      <x:c r="AZ45" s="184"/>
      <x:c r="BA45" s="184"/>
      <x:c r="BB45" s="184"/>
      <x:c r="BC45" s="184"/>
      <x:c r="BD45" s="184"/>
      <x:c r="BE45" s="184"/>
      <x:c r="BF45" s="184"/>
      <x:c r="BG45" s="184"/>
      <x:c r="BH45" s="184"/>
      <x:c r="BI45" s="184"/>
      <x:c r="BJ45" s="184"/>
      <x:c r="BK45" s="184"/>
      <x:c r="BL45" s="184"/>
      <x:c r="BM45" s="184"/>
      <x:c r="BN45" s="184"/>
      <x:c r="BO45" s="184"/>
      <x:c r="BP45" s="184"/>
      <x:c r="BQ45" s="184"/>
      <x:c r="BR45" s="184"/>
      <x:c r="BS45" s="184"/>
      <x:c r="BT45" s="184"/>
      <x:c r="BU45" s="184"/>
      <x:c r="BV45" s="184"/>
      <x:c r="BW45" s="184"/>
      <x:c r="BX45" s="184"/>
      <x:c r="BY45" s="185"/>
    </x:row>
    <x:row r="46" ht="16.5" customHeight="1">
      <x:c r="A46"/>
      <x:c r="B46" s="165"/>
      <x:c r="C46" s="170"/>
      <x:c r="D46" s="111" t="str">
        <x:v>부채비율 계산 및 반환 기능 구현</x:v>
      </x:c>
      <x:c r="E46" s="96" t="str">
        <x:v>재무</x:v>
      </x:c>
      <x:c r="F46" s="96" t="str">
        <x:v>조윤기</x:v>
      </x:c>
      <x:c r="G46" s="126" t="d">
        <x:v>2026-11-20T00:00:00.000Z</x:v>
      </x:c>
      <x:c r="H46" s="126" t="d">
        <x:v>2026-11-20T00:00:00.000Z</x:v>
      </x:c>
      <x:c r="I46" s="113" t="n">
        <x:f>IF(OR(G46="",H46=""),"",IF(H46&lt;G46,"일정확인",H46-G46+1))</x:f>
        <x:v>1</x:v>
      </x:c>
      <x:c r="J46" s="117" t="n">
        <x:v>0</x:v>
      </x:c>
      <x:c r="K46" s="96" t="str">
        <x:f>IF(ISNUMBER(J46),IF(J46=1,"완료",IF(J46=0,"미착수","진행중")),"")</x:f>
        <x:v>미착수</x:v>
      </x:c>
      <x:c r="L46" s="119" t="str">
        <x:v>부채비율</x:v>
      </x:c>
      <x:c r="M46" s="119" t="str">
        <x:v>계산 예시만·앱 연동 전</x:v>
      </x:c>
      <x:c r="N46" s="183"/>
      <x:c r="O46" s="184"/>
      <x:c r="P46" s="184"/>
      <x:c r="Q46" s="184"/>
      <x:c r="R46" s="184"/>
      <x:c r="S46" s="184"/>
      <x:c r="T46" s="184"/>
      <x:c r="U46" s="183"/>
      <x:c r="V46" s="184"/>
      <x:c r="W46" s="184"/>
      <x:c r="X46" s="184"/>
      <x:c r="Y46" s="184"/>
      <x:c r="Z46" s="184"/>
      <x:c r="AA46" s="184"/>
      <x:c r="AB46" s="184"/>
      <x:c r="AC46" s="184"/>
      <x:c r="AD46" s="184"/>
      <x:c r="AE46" s="184"/>
      <x:c r="AF46" s="184"/>
      <x:c r="AG46" s="184"/>
      <x:c r="AH46" s="184"/>
      <x:c r="AI46" s="184"/>
      <x:c r="AJ46" s="184"/>
      <x:c r="AK46" s="184"/>
      <x:c r="AL46" s="184"/>
      <x:c r="AM46" s="184"/>
      <x:c r="AN46" s="184"/>
      <x:c r="AO46" s="184"/>
      <x:c r="AP46" s="184"/>
      <x:c r="AQ46" s="184"/>
      <x:c r="AR46" s="184"/>
      <x:c r="AS46" s="184"/>
      <x:c r="AT46" s="184"/>
      <x:c r="AU46" s="184"/>
      <x:c r="AV46" s="184"/>
      <x:c r="AW46" s="184"/>
      <x:c r="AX46" s="184"/>
      <x:c r="AY46" s="184"/>
      <x:c r="AZ46" s="184"/>
      <x:c r="BA46" s="184"/>
      <x:c r="BB46" s="184"/>
      <x:c r="BC46" s="184"/>
      <x:c r="BD46" s="184"/>
      <x:c r="BE46" s="184"/>
      <x:c r="BF46" s="184"/>
      <x:c r="BG46" s="184"/>
      <x:c r="BH46" s="184"/>
      <x:c r="BI46" s="184"/>
      <x:c r="BJ46" s="184"/>
      <x:c r="BK46" s="184"/>
      <x:c r="BL46" s="184"/>
      <x:c r="BM46" s="184"/>
      <x:c r="BN46" s="184"/>
      <x:c r="BO46" s="184"/>
      <x:c r="BP46" s="184"/>
      <x:c r="BQ46" s="184"/>
      <x:c r="BR46" s="184"/>
      <x:c r="BS46" s="184"/>
      <x:c r="BT46" s="184"/>
      <x:c r="BU46" s="184"/>
      <x:c r="BV46" s="184"/>
      <x:c r="BW46" s="184"/>
      <x:c r="BX46" s="184"/>
      <x:c r="BY46" s="185"/>
    </x:row>
    <x:row r="47" ht="16.5" customHeight="1">
      <x:c r="A47"/>
      <x:c r="B47" s="165"/>
      <x:c r="C47" s="170"/>
      <x:c r="D47" s="111" t="str">
        <x:v>연도별 손익·재무구조 비교 자료 구성 기능 구현</x:v>
      </x:c>
      <x:c r="E47" s="96" t="str">
        <x:v>재무</x:v>
      </x:c>
      <x:c r="F47" s="96" t="str">
        <x:v>조윤기</x:v>
      </x:c>
      <x:c r="G47" s="126" t="d">
        <x:v>2026-11-20T00:00:00.000Z</x:v>
      </x:c>
      <x:c r="H47" s="126" t="d">
        <x:v>2026-11-21T00:00:00.000Z</x:v>
      </x:c>
      <x:c r="I47" s="113" t="n">
        <x:f>IF(OR(G47="",H47=""),"",IF(H47&lt;G47,"일정확인",H47-G47+1))</x:f>
        <x:v>2</x:v>
      </x:c>
      <x:c r="J47" s="117" t="n">
        <x:v>0</x:v>
      </x:c>
      <x:c r="K47" s="96" t="str">
        <x:f>IF(ISNUMBER(J47),IF(J47=1,"완료",IF(J47=0,"미착수","진행중")),"")</x:f>
        <x:v>미착수</x:v>
      </x:c>
      <x:c r="L47" s="119" t="str">
        <x:v>비교자료</x:v>
      </x:c>
      <x:c r="M47" s="119" t="str">
        <x:v>비교 예시만·앱 연동 전</x:v>
      </x:c>
      <x:c r="N47" s="183"/>
      <x:c r="O47" s="184"/>
      <x:c r="P47" s="184"/>
      <x:c r="Q47" s="184"/>
      <x:c r="R47" s="184"/>
      <x:c r="S47" s="184"/>
      <x:c r="T47" s="184"/>
      <x:c r="U47" s="183"/>
      <x:c r="V47" s="184"/>
      <x:c r="W47" s="184"/>
      <x:c r="X47" s="184"/>
      <x:c r="Y47" s="184"/>
      <x:c r="Z47" s="184"/>
      <x:c r="AA47" s="184"/>
      <x:c r="AB47" s="184"/>
      <x:c r="AC47" s="184"/>
      <x:c r="AD47" s="184"/>
      <x:c r="AE47" s="184"/>
      <x:c r="AF47" s="184"/>
      <x:c r="AG47" s="184"/>
      <x:c r="AH47" s="184"/>
      <x:c r="AI47" s="184"/>
      <x:c r="AJ47" s="184"/>
      <x:c r="AK47" s="184"/>
      <x:c r="AL47" s="184"/>
      <x:c r="AM47" s="184"/>
      <x:c r="AN47" s="184"/>
      <x:c r="AO47" s="184"/>
      <x:c r="AP47" s="184"/>
      <x:c r="AQ47" s="184"/>
      <x:c r="AR47" s="184"/>
      <x:c r="AS47" s="184"/>
      <x:c r="AT47" s="184"/>
      <x:c r="AU47" s="184"/>
      <x:c r="AV47" s="184"/>
      <x:c r="AW47" s="184"/>
      <x:c r="AX47" s="184"/>
      <x:c r="AY47" s="184"/>
      <x:c r="AZ47" s="184"/>
      <x:c r="BA47" s="184"/>
      <x:c r="BB47" s="184"/>
      <x:c r="BC47" s="184"/>
      <x:c r="BD47" s="184"/>
      <x:c r="BE47" s="184"/>
      <x:c r="BF47" s="184"/>
      <x:c r="BG47" s="184"/>
      <x:c r="BH47" s="184"/>
      <x:c r="BI47" s="184"/>
      <x:c r="BJ47" s="184"/>
      <x:c r="BK47" s="184"/>
      <x:c r="BL47" s="184"/>
      <x:c r="BM47" s="184"/>
      <x:c r="BN47" s="184"/>
      <x:c r="BO47" s="184"/>
      <x:c r="BP47" s="184"/>
      <x:c r="BQ47" s="184"/>
      <x:c r="BR47" s="184"/>
      <x:c r="BS47" s="184"/>
      <x:c r="BT47" s="184"/>
      <x:c r="BU47" s="184"/>
      <x:c r="BV47" s="184"/>
      <x:c r="BW47" s="184"/>
      <x:c r="BX47" s="184"/>
      <x:c r="BY47" s="185"/>
    </x:row>
    <x:row r="48" ht="16.5" customHeight="1">
      <x:c r="A48"/>
      <x:c r="B48" s="165"/>
      <x:c r="C48" s="168" t="str">
        <x:v>분석 자료 엑셀 파일 생성</x:v>
      </x:c>
      <x:c r="D48" s="111" t="str">
        <x:v>선택 종목의 지표·재무제표·출처 시트 구성 기능 구현</x:v>
      </x:c>
      <x:c r="E48" s="96" t="str">
        <x:v>출력</x:v>
      </x:c>
      <x:c r="F48" s="96" t="str">
        <x:v>조윤기</x:v>
      </x:c>
      <x:c r="G48" s="126" t="d">
        <x:v>2026-11-22T00:00:00.000Z</x:v>
      </x:c>
      <x:c r="H48" s="126" t="d">
        <x:v>2026-11-22T00:00:00.000Z</x:v>
      </x:c>
      <x:c r="I48" s="113" t="n">
        <x:f>IF(OR(G48="",H48=""),"",IF(H48&lt;G48,"일정확인",H48-G48+1))</x:f>
        <x:v>1</x:v>
      </x:c>
      <x:c r="J48" s="117" t="n">
        <x:v>0</x:v>
      </x:c>
      <x:c r="K48" s="96" t="str">
        <x:f>IF(ISNUMBER(J48),IF(J48=1,"완료",IF(J48=0,"미착수","진행중")),"")</x:f>
        <x:v>미착수</x:v>
      </x:c>
      <x:c r="L48" s="119" t="str">
        <x:v>엑셀자료</x:v>
      </x:c>
      <x:c r="M48" s="119" t="str">
        <x:v>엑셀 예시만·앱 기능 전</x:v>
      </x:c>
      <x:c r="N48" s="183"/>
      <x:c r="O48" s="184"/>
      <x:c r="P48" s="184"/>
      <x:c r="Q48" s="184"/>
      <x:c r="R48" s="184"/>
      <x:c r="S48" s="184"/>
      <x:c r="T48" s="184"/>
      <x:c r="U48" s="183"/>
      <x:c r="V48" s="184"/>
      <x:c r="W48" s="184"/>
      <x:c r="X48" s="184"/>
      <x:c r="Y48" s="184"/>
      <x:c r="Z48" s="184"/>
      <x:c r="AA48" s="184"/>
      <x:c r="AB48" s="184"/>
      <x:c r="AC48" s="184"/>
      <x:c r="AD48" s="184"/>
      <x:c r="AE48" s="184"/>
      <x:c r="AF48" s="184"/>
      <x:c r="AG48" s="184"/>
      <x:c r="AH48" s="184"/>
      <x:c r="AI48" s="184"/>
      <x:c r="AJ48" s="184"/>
      <x:c r="AK48" s="184"/>
      <x:c r="AL48" s="184"/>
      <x:c r="AM48" s="184"/>
      <x:c r="AN48" s="184"/>
      <x:c r="AO48" s="184"/>
      <x:c r="AP48" s="184"/>
      <x:c r="AQ48" s="184"/>
      <x:c r="AR48" s="184"/>
      <x:c r="AS48" s="184"/>
      <x:c r="AT48" s="184"/>
      <x:c r="AU48" s="184"/>
      <x:c r="AV48" s="184"/>
      <x:c r="AW48" s="184"/>
      <x:c r="AX48" s="184"/>
      <x:c r="AY48" s="184"/>
      <x:c r="AZ48" s="184"/>
      <x:c r="BA48" s="184"/>
      <x:c r="BB48" s="184"/>
      <x:c r="BC48" s="184"/>
      <x:c r="BD48" s="184"/>
      <x:c r="BE48" s="184"/>
      <x:c r="BF48" s="184"/>
      <x:c r="BG48" s="184"/>
      <x:c r="BH48" s="184"/>
      <x:c r="BI48" s="184"/>
      <x:c r="BJ48" s="184"/>
      <x:c r="BK48" s="184"/>
      <x:c r="BL48" s="184"/>
      <x:c r="BM48" s="184"/>
      <x:c r="BN48" s="184"/>
      <x:c r="BO48" s="184"/>
      <x:c r="BP48" s="184"/>
      <x:c r="BQ48" s="184"/>
      <x:c r="BR48" s="184"/>
      <x:c r="BS48" s="184"/>
      <x:c r="BT48" s="184"/>
      <x:c r="BU48" s="184"/>
      <x:c r="BV48" s="184"/>
      <x:c r="BW48" s="184"/>
      <x:c r="BX48" s="184"/>
      <x:c r="BY48" s="185"/>
    </x:row>
    <x:row r="49" ht="16.5" customHeight="1">
      <x:c r="A49"/>
      <x:c r="B49" s="165"/>
      <x:c r="C49" s="170"/>
      <x:c r="D49" s="111" t="str">
        <x:v>수치 변경이 반영되는 엑셀 차트 생성 기능 구현</x:v>
      </x:c>
      <x:c r="E49" s="96" t="str">
        <x:v>출력</x:v>
      </x:c>
      <x:c r="F49" s="96" t="str">
        <x:v>조윤기</x:v>
      </x:c>
      <x:c r="G49" s="126" t="d">
        <x:v>2026-11-23T00:00:00.000Z</x:v>
      </x:c>
      <x:c r="H49" s="126" t="d">
        <x:v>2026-11-23T00:00:00.000Z</x:v>
      </x:c>
      <x:c r="I49" s="113" t="n">
        <x:f>IF(OR(G49="",H49=""),"",IF(H49&lt;G49,"일정확인",H49-G49+1))</x:f>
        <x:v>1</x:v>
      </x:c>
      <x:c r="J49" s="117" t="n">
        <x:v>0</x:v>
      </x:c>
      <x:c r="K49" s="96" t="str">
        <x:f>IF(ISNUMBER(J49),IF(J49=1,"완료",IF(J49=0,"미착수","진행중")),"")</x:f>
        <x:v>미착수</x:v>
      </x:c>
      <x:c r="L49" s="119" t="str">
        <x:v>엑셀차트</x:v>
      </x:c>
      <x:c r="M49" s="119" t="str">
        <x:v>엑셀 예시만·앱 기능 전</x:v>
      </x:c>
      <x:c r="N49" s="183"/>
      <x:c r="O49" s="184"/>
      <x:c r="P49" s="184"/>
      <x:c r="Q49" s="184"/>
      <x:c r="R49" s="184"/>
      <x:c r="S49" s="184"/>
      <x:c r="T49" s="184"/>
      <x:c r="U49" s="183"/>
      <x:c r="V49" s="184"/>
      <x:c r="W49" s="184"/>
      <x:c r="X49" s="184"/>
      <x:c r="Y49" s="184"/>
      <x:c r="Z49" s="184"/>
      <x:c r="AA49" s="184"/>
      <x:c r="AB49" s="184"/>
      <x:c r="AC49" s="184"/>
      <x:c r="AD49" s="184"/>
      <x:c r="AE49" s="184"/>
      <x:c r="AF49" s="184"/>
      <x:c r="AG49" s="184"/>
      <x:c r="AH49" s="184"/>
      <x:c r="AI49" s="184"/>
      <x:c r="AJ49" s="184"/>
      <x:c r="AK49" s="184"/>
      <x:c r="AL49" s="184"/>
      <x:c r="AM49" s="184"/>
      <x:c r="AN49" s="184"/>
      <x:c r="AO49" s="184"/>
      <x:c r="AP49" s="184"/>
      <x:c r="AQ49" s="184"/>
      <x:c r="AR49" s="184"/>
      <x:c r="AS49" s="184"/>
      <x:c r="AT49" s="184"/>
      <x:c r="AU49" s="184"/>
      <x:c r="AV49" s="184"/>
      <x:c r="AW49" s="184"/>
      <x:c r="AX49" s="184"/>
      <x:c r="AY49" s="184"/>
      <x:c r="AZ49" s="184"/>
      <x:c r="BA49" s="184"/>
      <x:c r="BB49" s="184"/>
      <x:c r="BC49" s="184"/>
      <x:c r="BD49" s="184"/>
      <x:c r="BE49" s="184"/>
      <x:c r="BF49" s="184"/>
      <x:c r="BG49" s="184"/>
      <x:c r="BH49" s="184"/>
      <x:c r="BI49" s="184"/>
      <x:c r="BJ49" s="184"/>
      <x:c r="BK49" s="184"/>
      <x:c r="BL49" s="184"/>
      <x:c r="BM49" s="184"/>
      <x:c r="BN49" s="184"/>
      <x:c r="BO49" s="184"/>
      <x:c r="BP49" s="184"/>
      <x:c r="BQ49" s="184"/>
      <x:c r="BR49" s="184"/>
      <x:c r="BS49" s="184"/>
      <x:c r="BT49" s="184"/>
      <x:c r="BU49" s="184"/>
      <x:c r="BV49" s="184"/>
      <x:c r="BW49" s="184"/>
      <x:c r="BX49" s="184"/>
      <x:c r="BY49" s="185"/>
    </x:row>
    <x:row r="50" ht="16.5" customHeight="1">
      <x:c r="A50"/>
      <x:c r="B50" s="165"/>
      <x:c r="C50" s="170"/>
      <x:c r="D50" s="111" t="str">
        <x:v>다운로드용 XLSX 파일·파일명 생성 기능 구현</x:v>
      </x:c>
      <x:c r="E50" s="96" t="str">
        <x:v>출력</x:v>
      </x:c>
      <x:c r="F50" s="96" t="str">
        <x:v>조윤기</x:v>
      </x:c>
      <x:c r="G50" s="126" t="d">
        <x:v>2026-11-24T00:00:00.000Z</x:v>
      </x:c>
      <x:c r="H50" s="126" t="d">
        <x:v>2026-11-24T00:00:00.000Z</x:v>
      </x:c>
      <x:c r="I50" s="113" t="n">
        <x:f>IF(OR(G50="",H50=""),"",IF(H50&lt;G50,"일정확인",H50-G50+1))</x:f>
        <x:v>1</x:v>
      </x:c>
      <x:c r="J50" s="117" t="n">
        <x:v>0</x:v>
      </x:c>
      <x:c r="K50" s="96" t="str">
        <x:f>IF(ISNUMBER(J50),IF(J50=1,"완료",IF(J50=0,"미착수","진행중")),"")</x:f>
        <x:v>미착수</x:v>
      </x:c>
      <x:c r="L50" s="119" t="str">
        <x:v>XLSX생성</x:v>
      </x:c>
      <x:c r="M50" s="119" t="str">
        <x:v>앱 파일 생성 기능 미구현</x:v>
      </x:c>
      <x:c r="N50" s="183"/>
      <x:c r="O50" s="184"/>
      <x:c r="P50" s="184"/>
      <x:c r="Q50" s="184"/>
      <x:c r="R50" s="184"/>
      <x:c r="S50" s="184"/>
      <x:c r="T50" s="184"/>
      <x:c r="U50" s="183"/>
      <x:c r="V50" s="184"/>
      <x:c r="W50" s="184"/>
      <x:c r="X50" s="184"/>
      <x:c r="Y50" s="184"/>
      <x:c r="Z50" s="184"/>
      <x:c r="AA50" s="184"/>
      <x:c r="AB50" s="184"/>
      <x:c r="AC50" s="184"/>
      <x:c r="AD50" s="184"/>
      <x:c r="AE50" s="184"/>
      <x:c r="AF50" s="184"/>
      <x:c r="AG50" s="184"/>
      <x:c r="AH50" s="184"/>
      <x:c r="AI50" s="184"/>
      <x:c r="AJ50" s="184"/>
      <x:c r="AK50" s="184"/>
      <x:c r="AL50" s="184"/>
      <x:c r="AM50" s="184"/>
      <x:c r="AN50" s="184"/>
      <x:c r="AO50" s="184"/>
      <x:c r="AP50" s="184"/>
      <x:c r="AQ50" s="184"/>
      <x:c r="AR50" s="184"/>
      <x:c r="AS50" s="184"/>
      <x:c r="AT50" s="184"/>
      <x:c r="AU50" s="184"/>
      <x:c r="AV50" s="184"/>
      <x:c r="AW50" s="184"/>
      <x:c r="AX50" s="184"/>
      <x:c r="AY50" s="184"/>
      <x:c r="AZ50" s="184"/>
      <x:c r="BA50" s="184"/>
      <x:c r="BB50" s="184"/>
      <x:c r="BC50" s="184"/>
      <x:c r="BD50" s="184"/>
      <x:c r="BE50" s="184"/>
      <x:c r="BF50" s="184"/>
      <x:c r="BG50" s="184"/>
      <x:c r="BH50" s="184"/>
      <x:c r="BI50" s="184"/>
      <x:c r="BJ50" s="184"/>
      <x:c r="BK50" s="184"/>
      <x:c r="BL50" s="184"/>
      <x:c r="BM50" s="184"/>
      <x:c r="BN50" s="184"/>
      <x:c r="BO50" s="184"/>
      <x:c r="BP50" s="184"/>
      <x:c r="BQ50" s="184"/>
      <x:c r="BR50" s="184"/>
      <x:c r="BS50" s="184"/>
      <x:c r="BT50" s="184"/>
      <x:c r="BU50" s="184"/>
      <x:c r="BV50" s="184"/>
      <x:c r="BW50" s="184"/>
      <x:c r="BX50" s="184"/>
      <x:c r="BY50" s="185"/>
    </x:row>
    <x:row r="51" ht="16.5" customHeight="1">
      <x:c r="A51"/>
      <x:c r="B51" s="165"/>
      <x:c r="C51" s="167" t="str">
        <x:v>관련 뉴스 수집</x:v>
      </x:c>
      <x:c r="D51" s="143" t="str">
        <x:v>테마·대표 종목을 결합한 뉴스 검색 요청 기능 구현</x:v>
      </x:c>
      <x:c r="E51" s="144" t="str">
        <x:v>뉴스</x:v>
      </x:c>
      <x:c r="F51" s="144" t="str">
        <x:v>조윤기</x:v>
      </x:c>
      <x:c r="G51" s="145" t="d">
        <x:v>2026-10-13T00:00:00.000Z</x:v>
      </x:c>
      <x:c r="H51" s="145" t="d">
        <x:v>2026-10-13T00:00:00.000Z</x:v>
      </x:c>
      <x:c r="I51" s="146" t="n">
        <x:f>IF(OR(G51="",H51=""),"",IF(H51&lt;G51,"일정확인",H51-G51+1))</x:f>
        <x:v>1</x:v>
      </x:c>
      <x:c r="J51" s="147" t="n">
        <x:v>1</x:v>
      </x:c>
      <x:c r="K51" s="144" t="str">
        <x:f>IF(ISNUMBER(J51),IF(J51=1,"완료",IF(J51=0,"미착수","진행중")),"")</x:f>
        <x:v>완료</x:v>
      </x:c>
      <x:c r="L51" s="148" t="str">
        <x:v>뉴스요청</x:v>
      </x:c>
      <x:c r="M51" s="148" t="str">
        <x:v>코드·모의검사 완료</x:v>
      </x:c>
      <x:c r="N51" s="180"/>
      <x:c r="O51" s="181"/>
      <x:c r="P51" s="181"/>
      <x:c r="Q51" s="181"/>
      <x:c r="R51" s="181"/>
      <x:c r="S51" s="181"/>
      <x:c r="T51" s="181"/>
      <x:c r="U51" s="192"/>
      <x:c r="V51" s="181"/>
      <x:c r="W51" s="181"/>
      <x:c r="X51" s="181"/>
      <x:c r="Y51" s="181"/>
      <x:c r="Z51" s="181"/>
      <x:c r="AA51" s="181"/>
      <x:c r="AB51" s="181"/>
      <x:c r="AC51" s="181"/>
      <x:c r="AD51" s="181"/>
      <x:c r="AE51" s="181"/>
      <x:c r="AF51" s="181"/>
      <x:c r="AG51" s="181"/>
      <x:c r="AH51" s="181"/>
      <x:c r="AI51" s="181"/>
      <x:c r="AJ51" s="181"/>
      <x:c r="AK51" s="181"/>
      <x:c r="AL51" s="181"/>
      <x:c r="AM51" s="181"/>
      <x:c r="AN51" s="181"/>
      <x:c r="AO51" s="181"/>
      <x:c r="AP51" s="181"/>
      <x:c r="AQ51" s="181"/>
      <x:c r="AR51" s="181"/>
      <x:c r="AS51" s="181"/>
      <x:c r="AT51" s="181"/>
      <x:c r="AU51" s="181"/>
      <x:c r="AV51" s="181"/>
      <x:c r="AW51" s="181"/>
      <x:c r="AX51" s="181"/>
      <x:c r="AY51" s="181"/>
      <x:c r="AZ51" s="181"/>
      <x:c r="BA51" s="181"/>
      <x:c r="BB51" s="181"/>
      <x:c r="BC51" s="181"/>
      <x:c r="BD51" s="181"/>
      <x:c r="BE51" s="181"/>
      <x:c r="BF51" s="181"/>
      <x:c r="BG51" s="181"/>
      <x:c r="BH51" s="181"/>
      <x:c r="BI51" s="181"/>
      <x:c r="BJ51" s="181"/>
      <x:c r="BK51" s="181"/>
      <x:c r="BL51" s="181"/>
      <x:c r="BM51" s="181"/>
      <x:c r="BN51" s="181"/>
      <x:c r="BO51" s="181"/>
      <x:c r="BP51" s="181"/>
      <x:c r="BQ51" s="181"/>
      <x:c r="BR51" s="181"/>
      <x:c r="BS51" s="181"/>
      <x:c r="BT51" s="181"/>
      <x:c r="BU51" s="181"/>
      <x:c r="BV51" s="181"/>
      <x:c r="BW51" s="181"/>
      <x:c r="BX51" s="181"/>
      <x:c r="BY51" s="182"/>
    </x:row>
    <x:row r="52" ht="16.5" customHeight="1">
      <x:c r="A52"/>
      <x:c r="B52" s="165"/>
      <x:c r="C52" s="169"/>
      <x:c r="D52" s="111" t="str">
        <x:v>뉴스 제목의 HTML 태그·문자 표기 정제 기능 구현</x:v>
      </x:c>
      <x:c r="E52" s="96" t="str">
        <x:v>뉴스</x:v>
      </x:c>
      <x:c r="F52" s="96" t="str">
        <x:v>조윤기</x:v>
      </x:c>
      <x:c r="G52" s="126" t="d">
        <x:v>2026-10-13T00:00:00.000Z</x:v>
      </x:c>
      <x:c r="H52" s="126" t="d">
        <x:v>2026-10-13T00:00:00.000Z</x:v>
      </x:c>
      <x:c r="I52" s="113" t="n">
        <x:f>IF(OR(G52="",H52=""),"",IF(H52&lt;G52,"일정확인",H52-G52+1))</x:f>
        <x:v>1</x:v>
      </x:c>
      <x:c r="J52" s="117" t="n">
        <x:v>1</x:v>
      </x:c>
      <x:c r="K52" s="96" t="str">
        <x:f>IF(ISNUMBER(J52),IF(J52=1,"완료",IF(J52=0,"미착수","진행중")),"")</x:f>
        <x:v>완료</x:v>
      </x:c>
      <x:c r="L52" s="119" t="str">
        <x:v>제목정제</x:v>
      </x:c>
      <x:c r="M52" s="119" t="str">
        <x:v>코드·모의검사 완료</x:v>
      </x:c>
      <x:c r="N52" s="183"/>
      <x:c r="O52" s="184"/>
      <x:c r="P52" s="184"/>
      <x:c r="Q52" s="184"/>
      <x:c r="R52" s="184"/>
      <x:c r="S52" s="184"/>
      <x:c r="T52" s="184"/>
      <x:c r="U52" s="193"/>
      <x:c r="V52" s="184"/>
      <x:c r="W52" s="184"/>
      <x:c r="X52" s="184"/>
      <x:c r="Y52" s="184"/>
      <x:c r="Z52" s="184"/>
      <x:c r="AA52" s="184"/>
      <x:c r="AB52" s="184"/>
      <x:c r="AC52" s="184"/>
      <x:c r="AD52" s="184"/>
      <x:c r="AE52" s="184"/>
      <x:c r="AF52" s="184"/>
      <x:c r="AG52" s="184"/>
      <x:c r="AH52" s="184"/>
      <x:c r="AI52" s="184"/>
      <x:c r="AJ52" s="184"/>
      <x:c r="AK52" s="184"/>
      <x:c r="AL52" s="184"/>
      <x:c r="AM52" s="184"/>
      <x:c r="AN52" s="184"/>
      <x:c r="AO52" s="184"/>
      <x:c r="AP52" s="184"/>
      <x:c r="AQ52" s="184"/>
      <x:c r="AR52" s="184"/>
      <x:c r="AS52" s="184"/>
      <x:c r="AT52" s="184"/>
      <x:c r="AU52" s="184"/>
      <x:c r="AV52" s="184"/>
      <x:c r="AW52" s="184"/>
      <x:c r="AX52" s="184"/>
      <x:c r="AY52" s="184"/>
      <x:c r="AZ52" s="184"/>
      <x:c r="BA52" s="184"/>
      <x:c r="BB52" s="184"/>
      <x:c r="BC52" s="184"/>
      <x:c r="BD52" s="184"/>
      <x:c r="BE52" s="184"/>
      <x:c r="BF52" s="184"/>
      <x:c r="BG52" s="184"/>
      <x:c r="BH52" s="184"/>
      <x:c r="BI52" s="184"/>
      <x:c r="BJ52" s="184"/>
      <x:c r="BK52" s="184"/>
      <x:c r="BL52" s="184"/>
      <x:c r="BM52" s="184"/>
      <x:c r="BN52" s="184"/>
      <x:c r="BO52" s="184"/>
      <x:c r="BP52" s="184"/>
      <x:c r="BQ52" s="184"/>
      <x:c r="BR52" s="184"/>
      <x:c r="BS52" s="184"/>
      <x:c r="BT52" s="184"/>
      <x:c r="BU52" s="184"/>
      <x:c r="BV52" s="184"/>
      <x:c r="BW52" s="184"/>
      <x:c r="BX52" s="184"/>
      <x:c r="BY52" s="185"/>
    </x:row>
    <x:row r="53" ht="16.5" customHeight="1">
      <x:c r="A53"/>
      <x:c r="B53" s="165"/>
      <x:c r="C53" s="169"/>
      <x:c r="D53" s="111" t="str">
        <x:v>기사 링크·발행 시각·원문 사이트 수집 기능 구현</x:v>
      </x:c>
      <x:c r="E53" s="96" t="str">
        <x:v>뉴스</x:v>
      </x:c>
      <x:c r="F53" s="96" t="str">
        <x:v>조윤기</x:v>
      </x:c>
      <x:c r="G53" s="126" t="d">
        <x:v>2026-10-13T00:00:00.000Z</x:v>
      </x:c>
      <x:c r="H53" s="126" t="d">
        <x:v>2026-10-13T00:00:00.000Z</x:v>
      </x:c>
      <x:c r="I53" s="113" t="n">
        <x:f>IF(OR(G53="",H53=""),"",IF(H53&lt;G53,"일정확인",H53-G53+1))</x:f>
        <x:v>1</x:v>
      </x:c>
      <x:c r="J53" s="117" t="n">
        <x:v>1</x:v>
      </x:c>
      <x:c r="K53" s="96" t="str">
        <x:f>IF(ISNUMBER(J53),IF(J53=1,"완료",IF(J53=0,"미착수","진행중")),"")</x:f>
        <x:v>완료</x:v>
      </x:c>
      <x:c r="L53" s="119" t="str">
        <x:v>뉴스근거</x:v>
      </x:c>
      <x:c r="M53" s="119" t="str">
        <x:v>코드·모의검사 완료</x:v>
      </x:c>
      <x:c r="N53" s="183"/>
      <x:c r="O53" s="184"/>
      <x:c r="P53" s="184"/>
      <x:c r="Q53" s="184"/>
      <x:c r="R53" s="184"/>
      <x:c r="S53" s="184"/>
      <x:c r="T53" s="184"/>
      <x:c r="U53" s="193"/>
      <x:c r="V53" s="184"/>
      <x:c r="W53" s="184"/>
      <x:c r="X53" s="184"/>
      <x:c r="Y53" s="184"/>
      <x:c r="Z53" s="184"/>
      <x:c r="AA53" s="184"/>
      <x:c r="AB53" s="184"/>
      <x:c r="AC53" s="184"/>
      <x:c r="AD53" s="184"/>
      <x:c r="AE53" s="184"/>
      <x:c r="AF53" s="184"/>
      <x:c r="AG53" s="184"/>
      <x:c r="AH53" s="184"/>
      <x:c r="AI53" s="184"/>
      <x:c r="AJ53" s="184"/>
      <x:c r="AK53" s="184"/>
      <x:c r="AL53" s="184"/>
      <x:c r="AM53" s="184"/>
      <x:c r="AN53" s="184"/>
      <x:c r="AO53" s="184"/>
      <x:c r="AP53" s="184"/>
      <x:c r="AQ53" s="184"/>
      <x:c r="AR53" s="184"/>
      <x:c r="AS53" s="184"/>
      <x:c r="AT53" s="184"/>
      <x:c r="AU53" s="184"/>
      <x:c r="AV53" s="184"/>
      <x:c r="AW53" s="184"/>
      <x:c r="AX53" s="184"/>
      <x:c r="AY53" s="184"/>
      <x:c r="AZ53" s="184"/>
      <x:c r="BA53" s="184"/>
      <x:c r="BB53" s="184"/>
      <x:c r="BC53" s="184"/>
      <x:c r="BD53" s="184"/>
      <x:c r="BE53" s="184"/>
      <x:c r="BF53" s="184"/>
      <x:c r="BG53" s="184"/>
      <x:c r="BH53" s="184"/>
      <x:c r="BI53" s="184"/>
      <x:c r="BJ53" s="184"/>
      <x:c r="BK53" s="184"/>
      <x:c r="BL53" s="184"/>
      <x:c r="BM53" s="184"/>
      <x:c r="BN53" s="184"/>
      <x:c r="BO53" s="184"/>
      <x:c r="BP53" s="184"/>
      <x:c r="BQ53" s="184"/>
      <x:c r="BR53" s="184"/>
      <x:c r="BS53" s="184"/>
      <x:c r="BT53" s="184"/>
      <x:c r="BU53" s="184"/>
      <x:c r="BV53" s="184"/>
      <x:c r="BW53" s="184"/>
      <x:c r="BX53" s="184"/>
      <x:c r="BY53" s="185"/>
    </x:row>
    <x:row r="54" ht="16.5" customHeight="1">
      <x:c r="A54"/>
      <x:c r="B54" s="165"/>
      <x:c r="C54" s="170"/>
      <x:c r="D54" s="111" t="str">
        <x:v>뉴스 정렬·중복 제거·수집 건수 제한 기능 구현</x:v>
      </x:c>
      <x:c r="E54" s="96" t="str">
        <x:v>뉴스</x:v>
      </x:c>
      <x:c r="F54" s="96" t="str">
        <x:v>조윤기</x:v>
      </x:c>
      <x:c r="G54" s="126" t="d">
        <x:v>2026-10-13T00:00:00.000Z</x:v>
      </x:c>
      <x:c r="H54" s="126" t="d">
        <x:v>2026-10-13T00:00:00.000Z</x:v>
      </x:c>
      <x:c r="I54" s="113" t="n">
        <x:f>IF(OR(G54="",H54=""),"",IF(H54&lt;G54,"일정확인",H54-G54+1))</x:f>
        <x:v>1</x:v>
      </x:c>
      <x:c r="J54" s="117" t="n">
        <x:v>1</x:v>
      </x:c>
      <x:c r="K54" s="96" t="str">
        <x:f>IF(ISNUMBER(J54),IF(J54=1,"완료",IF(J54=0,"미착수","진행중")),"")</x:f>
        <x:v>완료</x:v>
      </x:c>
      <x:c r="L54" s="119" t="str">
        <x:v>뉴스정렬</x:v>
      </x:c>
      <x:c r="M54" s="119" t="str">
        <x:v>코드·모의검사 완료</x:v>
      </x:c>
      <x:c r="N54" s="183"/>
      <x:c r="O54" s="184"/>
      <x:c r="P54" s="184"/>
      <x:c r="Q54" s="184"/>
      <x:c r="R54" s="184"/>
      <x:c r="S54" s="184"/>
      <x:c r="T54" s="184"/>
      <x:c r="U54" s="193"/>
      <x:c r="V54" s="184"/>
      <x:c r="W54" s="184"/>
      <x:c r="X54" s="184"/>
      <x:c r="Y54" s="184"/>
      <x:c r="Z54" s="184"/>
      <x:c r="AA54" s="184"/>
      <x:c r="AB54" s="184"/>
      <x:c r="AC54" s="184"/>
      <x:c r="AD54" s="184"/>
      <x:c r="AE54" s="184"/>
      <x:c r="AF54" s="184"/>
      <x:c r="AG54" s="184"/>
      <x:c r="AH54" s="184"/>
      <x:c r="AI54" s="184"/>
      <x:c r="AJ54" s="184"/>
      <x:c r="AK54" s="184"/>
      <x:c r="AL54" s="184"/>
      <x:c r="AM54" s="184"/>
      <x:c r="AN54" s="184"/>
      <x:c r="AO54" s="184"/>
      <x:c r="AP54" s="184"/>
      <x:c r="AQ54" s="184"/>
      <x:c r="AR54" s="184"/>
      <x:c r="AS54" s="184"/>
      <x:c r="AT54" s="184"/>
      <x:c r="AU54" s="184"/>
      <x:c r="AV54" s="184"/>
      <x:c r="AW54" s="184"/>
      <x:c r="AX54" s="184"/>
      <x:c r="AY54" s="184"/>
      <x:c r="AZ54" s="184"/>
      <x:c r="BA54" s="184"/>
      <x:c r="BB54" s="184"/>
      <x:c r="BC54" s="184"/>
      <x:c r="BD54" s="184"/>
      <x:c r="BE54" s="184"/>
      <x:c r="BF54" s="184"/>
      <x:c r="BG54" s="184"/>
      <x:c r="BH54" s="184"/>
      <x:c r="BI54" s="184"/>
      <x:c r="BJ54" s="184"/>
      <x:c r="BK54" s="184"/>
      <x:c r="BL54" s="184"/>
      <x:c r="BM54" s="184"/>
      <x:c r="BN54" s="184"/>
      <x:c r="BO54" s="184"/>
      <x:c r="BP54" s="184"/>
      <x:c r="BQ54" s="184"/>
      <x:c r="BR54" s="184"/>
      <x:c r="BS54" s="184"/>
      <x:c r="BT54" s="184"/>
      <x:c r="BU54" s="184"/>
      <x:c r="BV54" s="184"/>
      <x:c r="BW54" s="184"/>
      <x:c r="BX54" s="184"/>
      <x:c r="BY54" s="185"/>
    </x:row>
    <x:row r="55" ht="16.5" customHeight="1">
      <x:c r="A55"/>
      <x:c r="B55" s="165"/>
      <x:c r="C55" s="167" t="str">
        <x:v>수집 데이터 상태 처리</x:v>
      </x:c>
      <x:c r="D55" s="143" t="str">
        <x:v>금융 지표 결측값과 유효하지 않은 숫자 처리 기능 구현</x:v>
      </x:c>
      <x:c r="E55" s="144" t="str">
        <x:v>데이터</x:v>
      </x:c>
      <x:c r="F55" s="144" t="str">
        <x:v>조윤기</x:v>
      </x:c>
      <x:c r="G55" s="145" t="d">
        <x:v>2026-10-13T00:00:00.000Z</x:v>
      </x:c>
      <x:c r="H55" s="145" t="d">
        <x:v>2026-10-13T00:00:00.000Z</x:v>
      </x:c>
      <x:c r="I55" s="146" t="n">
        <x:f>IF(OR(G55="",H55=""),"",IF(H55&lt;G55,"일정확인",H55-G55+1))</x:f>
        <x:v>1</x:v>
      </x:c>
      <x:c r="J55" s="147" t="n">
        <x:v>1</x:v>
      </x:c>
      <x:c r="K55" s="144" t="str">
        <x:f>IF(ISNUMBER(J55),IF(J55=1,"완료",IF(J55=0,"미착수","진행중")),"")</x:f>
        <x:v>완료</x:v>
      </x:c>
      <x:c r="L55" s="148" t="str">
        <x:v>결측처리</x:v>
      </x:c>
      <x:c r="M55" s="148" t="str">
        <x:v>코드·모의검사 완료</x:v>
      </x:c>
      <x:c r="N55" s="180"/>
      <x:c r="O55" s="181"/>
      <x:c r="P55" s="181"/>
      <x:c r="Q55" s="181"/>
      <x:c r="R55" s="181"/>
      <x:c r="S55" s="181"/>
      <x:c r="T55" s="181"/>
      <x:c r="U55" s="192"/>
      <x:c r="V55" s="181"/>
      <x:c r="W55" s="181"/>
      <x:c r="X55" s="181"/>
      <x:c r="Y55" s="181"/>
      <x:c r="Z55" s="181"/>
      <x:c r="AA55" s="181"/>
      <x:c r="AB55" s="181"/>
      <x:c r="AC55" s="181"/>
      <x:c r="AD55" s="181"/>
      <x:c r="AE55" s="181"/>
      <x:c r="AF55" s="181"/>
      <x:c r="AG55" s="181"/>
      <x:c r="AH55" s="181"/>
      <x:c r="AI55" s="181"/>
      <x:c r="AJ55" s="181"/>
      <x:c r="AK55" s="181"/>
      <x:c r="AL55" s="181"/>
      <x:c r="AM55" s="181"/>
      <x:c r="AN55" s="181"/>
      <x:c r="AO55" s="181"/>
      <x:c r="AP55" s="181"/>
      <x:c r="AQ55" s="181"/>
      <x:c r="AR55" s="181"/>
      <x:c r="AS55" s="181"/>
      <x:c r="AT55" s="181"/>
      <x:c r="AU55" s="181"/>
      <x:c r="AV55" s="181"/>
      <x:c r="AW55" s="181"/>
      <x:c r="AX55" s="181"/>
      <x:c r="AY55" s="181"/>
      <x:c r="AZ55" s="181"/>
      <x:c r="BA55" s="181"/>
      <x:c r="BB55" s="181"/>
      <x:c r="BC55" s="181"/>
      <x:c r="BD55" s="181"/>
      <x:c r="BE55" s="181"/>
      <x:c r="BF55" s="181"/>
      <x:c r="BG55" s="181"/>
      <x:c r="BH55" s="181"/>
      <x:c r="BI55" s="181"/>
      <x:c r="BJ55" s="181"/>
      <x:c r="BK55" s="181"/>
      <x:c r="BL55" s="181"/>
      <x:c r="BM55" s="181"/>
      <x:c r="BN55" s="181"/>
      <x:c r="BO55" s="181"/>
      <x:c r="BP55" s="181"/>
      <x:c r="BQ55" s="181"/>
      <x:c r="BR55" s="181"/>
      <x:c r="BS55" s="181"/>
      <x:c r="BT55" s="181"/>
      <x:c r="BU55" s="181"/>
      <x:c r="BV55" s="181"/>
      <x:c r="BW55" s="181"/>
      <x:c r="BX55" s="181"/>
      <x:c r="BY55" s="182"/>
    </x:row>
    <x:row r="56" ht="16.5" customHeight="1">
      <x:c r="A56"/>
      <x:c r="B56" s="165"/>
      <x:c r="C56" s="169"/>
      <x:c r="D56" s="111" t="str">
        <x:v>뉴스 검색 결과 없음과 일부 항목 누락 처리 기능 구현</x:v>
      </x:c>
      <x:c r="E56" s="96" t="str">
        <x:v>데이터</x:v>
      </x:c>
      <x:c r="F56" s="96" t="str">
        <x:v>조윤기</x:v>
      </x:c>
      <x:c r="G56" s="126" t="d">
        <x:v>2026-10-13T00:00:00.000Z</x:v>
      </x:c>
      <x:c r="H56" s="126" t="d">
        <x:v>2026-10-13T00:00:00.000Z</x:v>
      </x:c>
      <x:c r="I56" s="113" t="n">
        <x:f>IF(OR(G56="",H56=""),"",IF(H56&lt;G56,"일정확인",H56-G56+1))</x:f>
        <x:v>1</x:v>
      </x:c>
      <x:c r="J56" s="117" t="n">
        <x:v>1</x:v>
      </x:c>
      <x:c r="K56" s="96" t="str">
        <x:f>IF(ISNUMBER(J56),IF(J56=1,"완료",IF(J56=0,"미착수","진행중")),"")</x:f>
        <x:v>완료</x:v>
      </x:c>
      <x:c r="L56" s="119" t="str">
        <x:v>누락처리</x:v>
      </x:c>
      <x:c r="M56" s="119" t="str">
        <x:v>코드·모의검사 완료</x:v>
      </x:c>
      <x:c r="N56" s="183"/>
      <x:c r="O56" s="184"/>
      <x:c r="P56" s="184"/>
      <x:c r="Q56" s="184"/>
      <x:c r="R56" s="184"/>
      <x:c r="S56" s="184"/>
      <x:c r="T56" s="184"/>
      <x:c r="U56" s="193"/>
      <x:c r="V56" s="184"/>
      <x:c r="W56" s="184"/>
      <x:c r="X56" s="184"/>
      <x:c r="Y56" s="184"/>
      <x:c r="Z56" s="184"/>
      <x:c r="AA56" s="184"/>
      <x:c r="AB56" s="184"/>
      <x:c r="AC56" s="184"/>
      <x:c r="AD56" s="184"/>
      <x:c r="AE56" s="184"/>
      <x:c r="AF56" s="184"/>
      <x:c r="AG56" s="184"/>
      <x:c r="AH56" s="184"/>
      <x:c r="AI56" s="184"/>
      <x:c r="AJ56" s="184"/>
      <x:c r="AK56" s="184"/>
      <x:c r="AL56" s="184"/>
      <x:c r="AM56" s="184"/>
      <x:c r="AN56" s="184"/>
      <x:c r="AO56" s="184"/>
      <x:c r="AP56" s="184"/>
      <x:c r="AQ56" s="184"/>
      <x:c r="AR56" s="184"/>
      <x:c r="AS56" s="184"/>
      <x:c r="AT56" s="184"/>
      <x:c r="AU56" s="184"/>
      <x:c r="AV56" s="184"/>
      <x:c r="AW56" s="184"/>
      <x:c r="AX56" s="184"/>
      <x:c r="AY56" s="184"/>
      <x:c r="AZ56" s="184"/>
      <x:c r="BA56" s="184"/>
      <x:c r="BB56" s="184"/>
      <x:c r="BC56" s="184"/>
      <x:c r="BD56" s="184"/>
      <x:c r="BE56" s="184"/>
      <x:c r="BF56" s="184"/>
      <x:c r="BG56" s="184"/>
      <x:c r="BH56" s="184"/>
      <x:c r="BI56" s="184"/>
      <x:c r="BJ56" s="184"/>
      <x:c r="BK56" s="184"/>
      <x:c r="BL56" s="184"/>
      <x:c r="BM56" s="184"/>
      <x:c r="BN56" s="184"/>
      <x:c r="BO56" s="184"/>
      <x:c r="BP56" s="184"/>
      <x:c r="BQ56" s="184"/>
      <x:c r="BR56" s="184"/>
      <x:c r="BS56" s="184"/>
      <x:c r="BT56" s="184"/>
      <x:c r="BU56" s="184"/>
      <x:c r="BV56" s="184"/>
      <x:c r="BW56" s="184"/>
      <x:c r="BX56" s="184"/>
      <x:c r="BY56" s="185"/>
    </x:row>
    <x:row r="57" ht="16.5" customHeight="1">
      <x:c r="A57"/>
      <x:c r="B57" s="166"/>
      <x:c r="C57" s="170"/>
      <x:c r="D57" s="111" t="str">
        <x:v>API 인증 실패·요청 제한·시간 초과 상태 반환 기능 구현</x:v>
      </x:c>
      <x:c r="E57" s="96" t="str">
        <x:v>데이터</x:v>
      </x:c>
      <x:c r="F57" s="96" t="str">
        <x:v>조윤기</x:v>
      </x:c>
      <x:c r="G57" s="126" t="d">
        <x:v>2026-10-31T00:00:00.000Z</x:v>
      </x:c>
      <x:c r="H57" s="126" t="d">
        <x:v>2026-11-01T00:00:00.000Z</x:v>
      </x:c>
      <x:c r="I57" s="113" t="n">
        <x:f>IF(OR(G57="",H57=""),"",IF(H57&lt;G57,"일정확인",H57-G57+1))</x:f>
        <x:v>2</x:v>
      </x:c>
      <x:c r="J57" s="117"/>
      <x:c r="K57" s="96" t="str">
        <x:v>진행중</x:v>
      </x:c>
      <x:c r="L57" s="119" t="str">
        <x:v>요청상태</x:v>
      </x:c>
      <x:c r="M57" s="119" t="str">
        <x:v>뉴스 오류 분류·금융 분류 전</x:v>
      </x:c>
      <x:c r="N57" s="183"/>
      <x:c r="O57" s="184"/>
      <x:c r="P57" s="184"/>
      <x:c r="Q57" s="184"/>
      <x:c r="R57" s="184"/>
      <x:c r="S57" s="184"/>
      <x:c r="T57" s="184"/>
      <x:c r="U57" s="183"/>
      <x:c r="V57" s="184"/>
      <x:c r="W57" s="184"/>
      <x:c r="X57" s="184"/>
      <x:c r="Y57" s="184"/>
      <x:c r="Z57" s="184"/>
      <x:c r="AA57" s="184"/>
      <x:c r="AB57" s="184"/>
      <x:c r="AC57" s="184"/>
      <x:c r="AD57" s="184"/>
      <x:c r="AE57" s="184"/>
      <x:c r="AF57" s="184"/>
      <x:c r="AG57" s="184"/>
      <x:c r="AH57" s="184"/>
      <x:c r="AI57" s="184"/>
      <x:c r="AJ57" s="184"/>
      <x:c r="AK57" s="184"/>
      <x:c r="AL57" s="184"/>
      <x:c r="AM57" s="184"/>
      <x:c r="AN57" s="184"/>
      <x:c r="AO57" s="184"/>
      <x:c r="AP57" s="184"/>
      <x:c r="AQ57" s="184"/>
      <x:c r="AR57" s="184"/>
      <x:c r="AS57" s="184"/>
      <x:c r="AT57" s="184"/>
      <x:c r="AU57" s="184"/>
      <x:c r="AV57" s="184"/>
      <x:c r="AW57" s="184"/>
      <x:c r="AX57" s="184"/>
      <x:c r="AY57" s="184"/>
      <x:c r="AZ57" s="184"/>
      <x:c r="BA57" s="184"/>
      <x:c r="BB57" s="184"/>
      <x:c r="BC57" s="184"/>
      <x:c r="BD57" s="184"/>
      <x:c r="BE57" s="184"/>
      <x:c r="BF57" s="184"/>
      <x:c r="BG57" s="184"/>
      <x:c r="BH57" s="184"/>
      <x:c r="BI57" s="184"/>
      <x:c r="BJ57" s="184"/>
      <x:c r="BK57" s="184"/>
      <x:c r="BL57" s="184"/>
      <x:c r="BM57" s="184"/>
      <x:c r="BN57" s="184"/>
      <x:c r="BO57" s="184"/>
      <x:c r="BP57" s="184"/>
      <x:c r="BQ57" s="184"/>
      <x:c r="BR57" s="184"/>
      <x:c r="BS57" s="184"/>
      <x:c r="BT57" s="184"/>
      <x:c r="BU57" s="184"/>
      <x:c r="BV57" s="184"/>
      <x:c r="BW57" s="184"/>
      <x:c r="BX57" s="184"/>
      <x:c r="BY57" s="185"/>
    </x:row>
    <x:row r="58" ht="16.5" customHeight="1">
      <x:c r="A58"/>
      <x:c r="B58" s="164" t="str">
        <x:v>AI 분석 에이전트 개발</x:v>
      </x:c>
      <x:c r="C58" s="167" t="str">
        <x:v>테마 관련 종목 후보 제안</x:v>
      </x:c>
      <x:c r="D58" s="143" t="str">
        <x:v>사용자 테마 입력을 전달하는 후보 제안 프롬프트 작성</x:v>
      </x:c>
      <x:c r="E58" s="144" t="str">
        <x:v>AI</x:v>
      </x:c>
      <x:c r="F58" s="144" t="str">
        <x:v>김웅건</x:v>
      </x:c>
      <x:c r="G58" s="145" t="d">
        <x:v>2026-10-13T00:00:00.000Z</x:v>
      </x:c>
      <x:c r="H58" s="145" t="d">
        <x:v>2026-10-13T00:00:00.000Z</x:v>
      </x:c>
      <x:c r="I58" s="146" t="n">
        <x:f>IF(OR(G58="",H58=""),"",IF(H58&lt;G58,"일정확인",H58-G58+1))</x:f>
        <x:v>1</x:v>
      </x:c>
      <x:c r="J58" s="147" t="n">
        <x:v>1</x:v>
      </x:c>
      <x:c r="K58" s="144" t="str">
        <x:f>IF(ISNUMBER(J58),IF(J58=1,"완료",IF(J58=0,"미착수","진행중")),"")</x:f>
        <x:v>완료</x:v>
      </x:c>
      <x:c r="L58" s="148" t="str">
        <x:v>프롬프트</x:v>
      </x:c>
      <x:c r="M58" s="148" t="str">
        <x:v>코드·모의검사 완료</x:v>
      </x:c>
      <x:c r="N58" s="180"/>
      <x:c r="O58" s="181"/>
      <x:c r="P58" s="181"/>
      <x:c r="Q58" s="181"/>
      <x:c r="R58" s="181"/>
      <x:c r="S58" s="181"/>
      <x:c r="T58" s="181"/>
      <x:c r="U58" s="188"/>
      <x:c r="V58" s="181"/>
      <x:c r="W58" s="181"/>
      <x:c r="X58" s="181"/>
      <x:c r="Y58" s="181"/>
      <x:c r="Z58" s="181"/>
      <x:c r="AA58" s="181"/>
      <x:c r="AB58" s="181"/>
      <x:c r="AC58" s="181"/>
      <x:c r="AD58" s="181"/>
      <x:c r="AE58" s="181"/>
      <x:c r="AF58" s="181"/>
      <x:c r="AG58" s="181"/>
      <x:c r="AH58" s="181"/>
      <x:c r="AI58" s="181"/>
      <x:c r="AJ58" s="181"/>
      <x:c r="AK58" s="181"/>
      <x:c r="AL58" s="181"/>
      <x:c r="AM58" s="181"/>
      <x:c r="AN58" s="181"/>
      <x:c r="AO58" s="181"/>
      <x:c r="AP58" s="181"/>
      <x:c r="AQ58" s="181"/>
      <x:c r="AR58" s="181"/>
      <x:c r="AS58" s="181"/>
      <x:c r="AT58" s="181"/>
      <x:c r="AU58" s="181"/>
      <x:c r="AV58" s="181"/>
      <x:c r="AW58" s="181"/>
      <x:c r="AX58" s="181"/>
      <x:c r="AY58" s="181"/>
      <x:c r="AZ58" s="181"/>
      <x:c r="BA58" s="181"/>
      <x:c r="BB58" s="181"/>
      <x:c r="BC58" s="181"/>
      <x:c r="BD58" s="181"/>
      <x:c r="BE58" s="181"/>
      <x:c r="BF58" s="181"/>
      <x:c r="BG58" s="181"/>
      <x:c r="BH58" s="181"/>
      <x:c r="BI58" s="181"/>
      <x:c r="BJ58" s="181"/>
      <x:c r="BK58" s="181"/>
      <x:c r="BL58" s="181"/>
      <x:c r="BM58" s="181"/>
      <x:c r="BN58" s="181"/>
      <x:c r="BO58" s="181"/>
      <x:c r="BP58" s="181"/>
      <x:c r="BQ58" s="181"/>
      <x:c r="BR58" s="181"/>
      <x:c r="BS58" s="181"/>
      <x:c r="BT58" s="181"/>
      <x:c r="BU58" s="181"/>
      <x:c r="BV58" s="181"/>
      <x:c r="BW58" s="181"/>
      <x:c r="BX58" s="181"/>
      <x:c r="BY58" s="182"/>
    </x:row>
    <x:row r="59" ht="16.5" customHeight="1">
      <x:c r="A59"/>
      <x:c r="B59" s="165"/>
      <x:c r="C59" s="169"/>
      <x:c r="D59" s="111" t="str">
        <x:v>관련 종목 후보를 지정 형식으로 반환하는 AI 호출 기능 구현</x:v>
      </x:c>
      <x:c r="E59" s="96" t="str">
        <x:v>AI</x:v>
      </x:c>
      <x:c r="F59" s="96" t="str">
        <x:v>김웅건</x:v>
      </x:c>
      <x:c r="G59" s="126" t="d">
        <x:v>2026-10-13T00:00:00.000Z</x:v>
      </x:c>
      <x:c r="H59" s="126" t="d">
        <x:v>2026-10-13T00:00:00.000Z</x:v>
      </x:c>
      <x:c r="I59" s="113" t="n">
        <x:f>IF(OR(G59="",H59=""),"",IF(H59&lt;G59,"일정확인",H59-G59+1))</x:f>
        <x:v>1</x:v>
      </x:c>
      <x:c r="J59" s="117" t="n">
        <x:v>1</x:v>
      </x:c>
      <x:c r="K59" s="96" t="str">
        <x:f>IF(ISNUMBER(J59),IF(J59=1,"완료",IF(J59=0,"미착수","진행중")),"")</x:f>
        <x:v>완료</x:v>
      </x:c>
      <x:c r="L59" s="119" t="str">
        <x:v>후보호출</x:v>
      </x:c>
      <x:c r="M59" s="119" t="str">
        <x:v>코드·모의검사 완료</x:v>
      </x:c>
      <x:c r="N59" s="183"/>
      <x:c r="O59" s="184"/>
      <x:c r="P59" s="184"/>
      <x:c r="Q59" s="184"/>
      <x:c r="R59" s="184"/>
      <x:c r="S59" s="184"/>
      <x:c r="T59" s="184"/>
      <x:c r="U59" s="189"/>
      <x:c r="V59" s="184"/>
      <x:c r="W59" s="184"/>
      <x:c r="X59" s="184"/>
      <x:c r="Y59" s="184"/>
      <x:c r="Z59" s="184"/>
      <x:c r="AA59" s="184"/>
      <x:c r="AB59" s="184"/>
      <x:c r="AC59" s="184"/>
      <x:c r="AD59" s="184"/>
      <x:c r="AE59" s="184"/>
      <x:c r="AF59" s="184"/>
      <x:c r="AG59" s="184"/>
      <x:c r="AH59" s="184"/>
      <x:c r="AI59" s="184"/>
      <x:c r="AJ59" s="184"/>
      <x:c r="AK59" s="184"/>
      <x:c r="AL59" s="184"/>
      <x:c r="AM59" s="184"/>
      <x:c r="AN59" s="184"/>
      <x:c r="AO59" s="184"/>
      <x:c r="AP59" s="184"/>
      <x:c r="AQ59" s="184"/>
      <x:c r="AR59" s="184"/>
      <x:c r="AS59" s="184"/>
      <x:c r="AT59" s="184"/>
      <x:c r="AU59" s="184"/>
      <x:c r="AV59" s="184"/>
      <x:c r="AW59" s="184"/>
      <x:c r="AX59" s="184"/>
      <x:c r="AY59" s="184"/>
      <x:c r="AZ59" s="184"/>
      <x:c r="BA59" s="184"/>
      <x:c r="BB59" s="184"/>
      <x:c r="BC59" s="184"/>
      <x:c r="BD59" s="184"/>
      <x:c r="BE59" s="184"/>
      <x:c r="BF59" s="184"/>
      <x:c r="BG59" s="184"/>
      <x:c r="BH59" s="184"/>
      <x:c r="BI59" s="184"/>
      <x:c r="BJ59" s="184"/>
      <x:c r="BK59" s="184"/>
      <x:c r="BL59" s="184"/>
      <x:c r="BM59" s="184"/>
      <x:c r="BN59" s="184"/>
      <x:c r="BO59" s="184"/>
      <x:c r="BP59" s="184"/>
      <x:c r="BQ59" s="184"/>
      <x:c r="BR59" s="184"/>
      <x:c r="BS59" s="184"/>
      <x:c r="BT59" s="184"/>
      <x:c r="BU59" s="184"/>
      <x:c r="BV59" s="184"/>
      <x:c r="BW59" s="184"/>
      <x:c r="BX59" s="184"/>
      <x:c r="BY59" s="185"/>
    </x:row>
    <x:row r="60" ht="16.5" customHeight="1">
      <x:c r="A60"/>
      <x:c r="B60" s="165"/>
      <x:c r="C60" s="170"/>
      <x:c r="D60" s="111" t="str">
        <x:v>후보 개수·종목명 공백·중복 응답 검사 기능 구현</x:v>
      </x:c>
      <x:c r="E60" s="96" t="str">
        <x:v>AI</x:v>
      </x:c>
      <x:c r="F60" s="96" t="str">
        <x:v>김웅건</x:v>
      </x:c>
      <x:c r="G60" s="126" t="d">
        <x:v>2026-10-13T00:00:00.000Z</x:v>
      </x:c>
      <x:c r="H60" s="126" t="d">
        <x:v>2026-10-13T00:00:00.000Z</x:v>
      </x:c>
      <x:c r="I60" s="113" t="n">
        <x:f>IF(OR(G60="",H60=""),"",IF(H60&lt;G60,"일정확인",H60-G60+1))</x:f>
        <x:v>1</x:v>
      </x:c>
      <x:c r="J60" s="117" t="n">
        <x:v>1</x:v>
      </x:c>
      <x:c r="K60" s="96" t="str">
        <x:f>IF(ISNUMBER(J60),IF(J60=1,"완료",IF(J60=0,"미착수","진행중")),"")</x:f>
        <x:v>완료</x:v>
      </x:c>
      <x:c r="L60" s="119" t="str">
        <x:v>후보검사</x:v>
      </x:c>
      <x:c r="M60" s="119" t="str">
        <x:v>코드·모의검사 완료</x:v>
      </x:c>
      <x:c r="N60" s="183"/>
      <x:c r="O60" s="184"/>
      <x:c r="P60" s="184"/>
      <x:c r="Q60" s="184"/>
      <x:c r="R60" s="184"/>
      <x:c r="S60" s="184"/>
      <x:c r="T60" s="184"/>
      <x:c r="U60" s="189"/>
      <x:c r="V60" s="184"/>
      <x:c r="W60" s="184"/>
      <x:c r="X60" s="184"/>
      <x:c r="Y60" s="184"/>
      <x:c r="Z60" s="184"/>
      <x:c r="AA60" s="184"/>
      <x:c r="AB60" s="184"/>
      <x:c r="AC60" s="184"/>
      <x:c r="AD60" s="184"/>
      <x:c r="AE60" s="184"/>
      <x:c r="AF60" s="184"/>
      <x:c r="AG60" s="184"/>
      <x:c r="AH60" s="184"/>
      <x:c r="AI60" s="184"/>
      <x:c r="AJ60" s="184"/>
      <x:c r="AK60" s="184"/>
      <x:c r="AL60" s="184"/>
      <x:c r="AM60" s="184"/>
      <x:c r="AN60" s="184"/>
      <x:c r="AO60" s="184"/>
      <x:c r="AP60" s="184"/>
      <x:c r="AQ60" s="184"/>
      <x:c r="AR60" s="184"/>
      <x:c r="AS60" s="184"/>
      <x:c r="AT60" s="184"/>
      <x:c r="AU60" s="184"/>
      <x:c r="AV60" s="184"/>
      <x:c r="AW60" s="184"/>
      <x:c r="AX60" s="184"/>
      <x:c r="AY60" s="184"/>
      <x:c r="AZ60" s="184"/>
      <x:c r="BA60" s="184"/>
      <x:c r="BB60" s="184"/>
      <x:c r="BC60" s="184"/>
      <x:c r="BD60" s="184"/>
      <x:c r="BE60" s="184"/>
      <x:c r="BF60" s="184"/>
      <x:c r="BG60" s="184"/>
      <x:c r="BH60" s="184"/>
      <x:c r="BI60" s="184"/>
      <x:c r="BJ60" s="184"/>
      <x:c r="BK60" s="184"/>
      <x:c r="BL60" s="184"/>
      <x:c r="BM60" s="184"/>
      <x:c r="BN60" s="184"/>
      <x:c r="BO60" s="184"/>
      <x:c r="BP60" s="184"/>
      <x:c r="BQ60" s="184"/>
      <x:c r="BR60" s="184"/>
      <x:c r="BS60" s="184"/>
      <x:c r="BT60" s="184"/>
      <x:c r="BU60" s="184"/>
      <x:c r="BV60" s="184"/>
      <x:c r="BW60" s="184"/>
      <x:c r="BX60" s="184"/>
      <x:c r="BY60" s="185"/>
    </x:row>
    <x:row r="61" ht="16.5" customHeight="1">
      <x:c r="A61"/>
      <x:c r="B61" s="165"/>
      <x:c r="C61" s="167" t="str">
        <x:v>분석 자료 구성</x:v>
      </x:c>
      <x:c r="D61" s="143" t="str">
        <x:v>확인된 종목과 금융 지표를 AI 입력 자료로 변환</x:v>
      </x:c>
      <x:c r="E61" s="144" t="str">
        <x:v>AI</x:v>
      </x:c>
      <x:c r="F61" s="144" t="str">
        <x:v>김웅건</x:v>
      </x:c>
      <x:c r="G61" s="145" t="d">
        <x:v>2026-10-13T00:00:00.000Z</x:v>
      </x:c>
      <x:c r="H61" s="145" t="d">
        <x:v>2026-10-13T00:00:00.000Z</x:v>
      </x:c>
      <x:c r="I61" s="146" t="n">
        <x:f>IF(OR(G61="",H61=""),"",IF(H61&lt;G61,"일정확인",H61-G61+1))</x:f>
        <x:v>1</x:v>
      </x:c>
      <x:c r="J61" s="147" t="n">
        <x:v>1</x:v>
      </x:c>
      <x:c r="K61" s="144" t="str">
        <x:f>IF(ISNUMBER(J61),IF(J61=1,"완료",IF(J61=0,"미착수","진행중")),"")</x:f>
        <x:v>완료</x:v>
      </x:c>
      <x:c r="L61" s="148" t="str">
        <x:v>금융입력</x:v>
      </x:c>
      <x:c r="M61" s="148" t="str">
        <x:v>코드·모의검사 완료</x:v>
      </x:c>
      <x:c r="N61" s="180"/>
      <x:c r="O61" s="181"/>
      <x:c r="P61" s="181"/>
      <x:c r="Q61" s="181"/>
      <x:c r="R61" s="181"/>
      <x:c r="S61" s="181"/>
      <x:c r="T61" s="181"/>
      <x:c r="U61" s="188"/>
      <x:c r="V61" s="181"/>
      <x:c r="W61" s="181"/>
      <x:c r="X61" s="181"/>
      <x:c r="Y61" s="181"/>
      <x:c r="Z61" s="181"/>
      <x:c r="AA61" s="181"/>
      <x:c r="AB61" s="181"/>
      <x:c r="AC61" s="181"/>
      <x:c r="AD61" s="181"/>
      <x:c r="AE61" s="181"/>
      <x:c r="AF61" s="181"/>
      <x:c r="AG61" s="181"/>
      <x:c r="AH61" s="181"/>
      <x:c r="AI61" s="181"/>
      <x:c r="AJ61" s="181"/>
      <x:c r="AK61" s="181"/>
      <x:c r="AL61" s="181"/>
      <x:c r="AM61" s="181"/>
      <x:c r="AN61" s="181"/>
      <x:c r="AO61" s="181"/>
      <x:c r="AP61" s="181"/>
      <x:c r="AQ61" s="181"/>
      <x:c r="AR61" s="181"/>
      <x:c r="AS61" s="181"/>
      <x:c r="AT61" s="181"/>
      <x:c r="AU61" s="181"/>
      <x:c r="AV61" s="181"/>
      <x:c r="AW61" s="181"/>
      <x:c r="AX61" s="181"/>
      <x:c r="AY61" s="181"/>
      <x:c r="AZ61" s="181"/>
      <x:c r="BA61" s="181"/>
      <x:c r="BB61" s="181"/>
      <x:c r="BC61" s="181"/>
      <x:c r="BD61" s="181"/>
      <x:c r="BE61" s="181"/>
      <x:c r="BF61" s="181"/>
      <x:c r="BG61" s="181"/>
      <x:c r="BH61" s="181"/>
      <x:c r="BI61" s="181"/>
      <x:c r="BJ61" s="181"/>
      <x:c r="BK61" s="181"/>
      <x:c r="BL61" s="181"/>
      <x:c r="BM61" s="181"/>
      <x:c r="BN61" s="181"/>
      <x:c r="BO61" s="181"/>
      <x:c r="BP61" s="181"/>
      <x:c r="BQ61" s="181"/>
      <x:c r="BR61" s="181"/>
      <x:c r="BS61" s="181"/>
      <x:c r="BT61" s="181"/>
      <x:c r="BU61" s="181"/>
      <x:c r="BV61" s="181"/>
      <x:c r="BW61" s="181"/>
      <x:c r="BX61" s="181"/>
      <x:c r="BY61" s="182"/>
    </x:row>
    <x:row r="62" ht="16.5" customHeight="1">
      <x:c r="A62"/>
      <x:c r="B62" s="165"/>
      <x:c r="C62" s="169"/>
      <x:c r="D62" s="111" t="str">
        <x:v>뉴스 제목과 근거 번호를 AI 입력 자료로 구성</x:v>
      </x:c>
      <x:c r="E62" s="96" t="str">
        <x:v>AI</x:v>
      </x:c>
      <x:c r="F62" s="96" t="str">
        <x:v>김웅건</x:v>
      </x:c>
      <x:c r="G62" s="126" t="d">
        <x:v>2026-10-13T00:00:00.000Z</x:v>
      </x:c>
      <x:c r="H62" s="126" t="d">
        <x:v>2026-10-13T00:00:00.000Z</x:v>
      </x:c>
      <x:c r="I62" s="113" t="n">
        <x:f>IF(OR(G62="",H62=""),"",IF(H62&lt;G62,"일정확인",H62-G62+1))</x:f>
        <x:v>1</x:v>
      </x:c>
      <x:c r="J62" s="117" t="n">
        <x:v>1</x:v>
      </x:c>
      <x:c r="K62" s="96" t="str">
        <x:f>IF(ISNUMBER(J62),IF(J62=1,"완료",IF(J62=0,"미착수","진행중")),"")</x:f>
        <x:v>완료</x:v>
      </x:c>
      <x:c r="L62" s="119" t="str">
        <x:v>뉴스입력</x:v>
      </x:c>
      <x:c r="M62" s="119" t="str">
        <x:v>코드·모의검사 완료</x:v>
      </x:c>
      <x:c r="N62" s="183"/>
      <x:c r="O62" s="184"/>
      <x:c r="P62" s="184"/>
      <x:c r="Q62" s="184"/>
      <x:c r="R62" s="184"/>
      <x:c r="S62" s="184"/>
      <x:c r="T62" s="184"/>
      <x:c r="U62" s="189"/>
      <x:c r="V62" s="184"/>
      <x:c r="W62" s="184"/>
      <x:c r="X62" s="184"/>
      <x:c r="Y62" s="184"/>
      <x:c r="Z62" s="184"/>
      <x:c r="AA62" s="184"/>
      <x:c r="AB62" s="184"/>
      <x:c r="AC62" s="184"/>
      <x:c r="AD62" s="184"/>
      <x:c r="AE62" s="184"/>
      <x:c r="AF62" s="184"/>
      <x:c r="AG62" s="184"/>
      <x:c r="AH62" s="184"/>
      <x:c r="AI62" s="184"/>
      <x:c r="AJ62" s="184"/>
      <x:c r="AK62" s="184"/>
      <x:c r="AL62" s="184"/>
      <x:c r="AM62" s="184"/>
      <x:c r="AN62" s="184"/>
      <x:c r="AO62" s="184"/>
      <x:c r="AP62" s="184"/>
      <x:c r="AQ62" s="184"/>
      <x:c r="AR62" s="184"/>
      <x:c r="AS62" s="184"/>
      <x:c r="AT62" s="184"/>
      <x:c r="AU62" s="184"/>
      <x:c r="AV62" s="184"/>
      <x:c r="AW62" s="184"/>
      <x:c r="AX62" s="184"/>
      <x:c r="AY62" s="184"/>
      <x:c r="AZ62" s="184"/>
      <x:c r="BA62" s="184"/>
      <x:c r="BB62" s="184"/>
      <x:c r="BC62" s="184"/>
      <x:c r="BD62" s="184"/>
      <x:c r="BE62" s="184"/>
      <x:c r="BF62" s="184"/>
      <x:c r="BG62" s="184"/>
      <x:c r="BH62" s="184"/>
      <x:c r="BI62" s="184"/>
      <x:c r="BJ62" s="184"/>
      <x:c r="BK62" s="184"/>
      <x:c r="BL62" s="184"/>
      <x:c r="BM62" s="184"/>
      <x:c r="BN62" s="184"/>
      <x:c r="BO62" s="184"/>
      <x:c r="BP62" s="184"/>
      <x:c r="BQ62" s="184"/>
      <x:c r="BR62" s="184"/>
      <x:c r="BS62" s="184"/>
      <x:c r="BT62" s="184"/>
      <x:c r="BU62" s="184"/>
      <x:c r="BV62" s="184"/>
      <x:c r="BW62" s="184"/>
      <x:c r="BX62" s="184"/>
      <x:c r="BY62" s="185"/>
    </x:row>
    <x:row r="63" ht="16.5" customHeight="1">
      <x:c r="A63"/>
      <x:c r="B63" s="165"/>
      <x:c r="C63" s="169"/>
      <x:c r="D63" s="111" t="str">
        <x:v>누락된 지표와 수집 실패 정보를 AI 입력에 반영</x:v>
      </x:c>
      <x:c r="E63" s="96" t="str">
        <x:v>AI</x:v>
      </x:c>
      <x:c r="F63" s="96" t="str">
        <x:v>김웅건</x:v>
      </x:c>
      <x:c r="G63" s="126" t="d">
        <x:v>2026-10-13T00:00:00.000Z</x:v>
      </x:c>
      <x:c r="H63" s="126" t="d">
        <x:v>2026-10-13T00:00:00.000Z</x:v>
      </x:c>
      <x:c r="I63" s="113" t="n">
        <x:f>IF(OR(G63="",H63=""),"",IF(H63&lt;G63,"일정확인",H63-G63+1))</x:f>
        <x:v>1</x:v>
      </x:c>
      <x:c r="J63" s="117" t="n">
        <x:v>1</x:v>
      </x:c>
      <x:c r="K63" s="96" t="str">
        <x:f>IF(ISNUMBER(J63),IF(J63=1,"완료",IF(J63=0,"미착수","진행중")),"")</x:f>
        <x:v>완료</x:v>
      </x:c>
      <x:c r="L63" s="119" t="str">
        <x:v>누락입력</x:v>
      </x:c>
      <x:c r="M63" s="119" t="str">
        <x:v>코드·모의검사 완료</x:v>
      </x:c>
      <x:c r="N63" s="183"/>
      <x:c r="O63" s="184"/>
      <x:c r="P63" s="184"/>
      <x:c r="Q63" s="184"/>
      <x:c r="R63" s="184"/>
      <x:c r="S63" s="184"/>
      <x:c r="T63" s="184"/>
      <x:c r="U63" s="189"/>
      <x:c r="V63" s="184"/>
      <x:c r="W63" s="184"/>
      <x:c r="X63" s="184"/>
      <x:c r="Y63" s="184"/>
      <x:c r="Z63" s="184"/>
      <x:c r="AA63" s="184"/>
      <x:c r="AB63" s="184"/>
      <x:c r="AC63" s="184"/>
      <x:c r="AD63" s="184"/>
      <x:c r="AE63" s="184"/>
      <x:c r="AF63" s="184"/>
      <x:c r="AG63" s="184"/>
      <x:c r="AH63" s="184"/>
      <x:c r="AI63" s="184"/>
      <x:c r="AJ63" s="184"/>
      <x:c r="AK63" s="184"/>
      <x:c r="AL63" s="184"/>
      <x:c r="AM63" s="184"/>
      <x:c r="AN63" s="184"/>
      <x:c r="AO63" s="184"/>
      <x:c r="AP63" s="184"/>
      <x:c r="AQ63" s="184"/>
      <x:c r="AR63" s="184"/>
      <x:c r="AS63" s="184"/>
      <x:c r="AT63" s="184"/>
      <x:c r="AU63" s="184"/>
      <x:c r="AV63" s="184"/>
      <x:c r="AW63" s="184"/>
      <x:c r="AX63" s="184"/>
      <x:c r="AY63" s="184"/>
      <x:c r="AZ63" s="184"/>
      <x:c r="BA63" s="184"/>
      <x:c r="BB63" s="184"/>
      <x:c r="BC63" s="184"/>
      <x:c r="BD63" s="184"/>
      <x:c r="BE63" s="184"/>
      <x:c r="BF63" s="184"/>
      <x:c r="BG63" s="184"/>
      <x:c r="BH63" s="184"/>
      <x:c r="BI63" s="184"/>
      <x:c r="BJ63" s="184"/>
      <x:c r="BK63" s="184"/>
      <x:c r="BL63" s="184"/>
      <x:c r="BM63" s="184"/>
      <x:c r="BN63" s="184"/>
      <x:c r="BO63" s="184"/>
      <x:c r="BP63" s="184"/>
      <x:c r="BQ63" s="184"/>
      <x:c r="BR63" s="184"/>
      <x:c r="BS63" s="184"/>
      <x:c r="BT63" s="184"/>
      <x:c r="BU63" s="184"/>
      <x:c r="BV63" s="184"/>
      <x:c r="BW63" s="184"/>
      <x:c r="BX63" s="184"/>
      <x:c r="BY63" s="185"/>
    </x:row>
    <x:row r="64" ht="16.5" customHeight="1">
      <x:c r="A64"/>
      <x:c r="B64" s="165"/>
      <x:c r="C64" s="170"/>
      <x:c r="D64" s="111" t="str">
        <x:v>재무제표 항목과 조회 기간을 AI 입력 자료로 변환</x:v>
      </x:c>
      <x:c r="E64" s="96" t="str">
        <x:v>AI</x:v>
      </x:c>
      <x:c r="F64" s="96" t="str">
        <x:v>김웅건</x:v>
      </x:c>
      <x:c r="G64" s="126" t="d">
        <x:v>2026-11-23T00:00:00.000Z</x:v>
      </x:c>
      <x:c r="H64" s="126" t="d">
        <x:v>2026-11-23T00:00:00.000Z</x:v>
      </x:c>
      <x:c r="I64" s="113" t="n">
        <x:f>IF(OR(G64="",H64=""),"",IF(H64&lt;G64,"일정확인",H64-G64+1))</x:f>
        <x:v>1</x:v>
      </x:c>
      <x:c r="J64" s="117" t="n">
        <x:v>0</x:v>
      </x:c>
      <x:c r="K64" s="96" t="str">
        <x:f>IF(ISNUMBER(J64),IF(J64=1,"완료",IF(J64=0,"미착수","진행중")),"")</x:f>
        <x:v>미착수</x:v>
      </x:c>
      <x:c r="L64" s="119" t="str">
        <x:v>재무입력</x:v>
      </x:c>
      <x:c r="M64" s="119" t="str">
        <x:v>분석 기능 확장</x:v>
      </x:c>
      <x:c r="N64" s="183"/>
      <x:c r="O64" s="184"/>
      <x:c r="P64" s="184"/>
      <x:c r="Q64" s="184"/>
      <x:c r="R64" s="184"/>
      <x:c r="S64" s="184"/>
      <x:c r="T64" s="184"/>
      <x:c r="U64" s="183"/>
      <x:c r="V64" s="184"/>
      <x:c r="W64" s="184"/>
      <x:c r="X64" s="184"/>
      <x:c r="Y64" s="184"/>
      <x:c r="Z64" s="184"/>
      <x:c r="AA64" s="184"/>
      <x:c r="AB64" s="184"/>
      <x:c r="AC64" s="184"/>
      <x:c r="AD64" s="184"/>
      <x:c r="AE64" s="184"/>
      <x:c r="AF64" s="184"/>
      <x:c r="AG64" s="184"/>
      <x:c r="AH64" s="184"/>
      <x:c r="AI64" s="184"/>
      <x:c r="AJ64" s="184"/>
      <x:c r="AK64" s="184"/>
      <x:c r="AL64" s="184"/>
      <x:c r="AM64" s="184"/>
      <x:c r="AN64" s="184"/>
      <x:c r="AO64" s="184"/>
      <x:c r="AP64" s="184"/>
      <x:c r="AQ64" s="184"/>
      <x:c r="AR64" s="184"/>
      <x:c r="AS64" s="184"/>
      <x:c r="AT64" s="184"/>
      <x:c r="AU64" s="184"/>
      <x:c r="AV64" s="184"/>
      <x:c r="AW64" s="184"/>
      <x:c r="AX64" s="184"/>
      <x:c r="AY64" s="184"/>
      <x:c r="AZ64" s="184"/>
      <x:c r="BA64" s="184"/>
      <x:c r="BB64" s="184"/>
      <x:c r="BC64" s="184"/>
      <x:c r="BD64" s="184"/>
      <x:c r="BE64" s="184"/>
      <x:c r="BF64" s="184"/>
      <x:c r="BG64" s="184"/>
      <x:c r="BH64" s="184"/>
      <x:c r="BI64" s="184"/>
      <x:c r="BJ64" s="184"/>
      <x:c r="BK64" s="184"/>
      <x:c r="BL64" s="184"/>
      <x:c r="BM64" s="184"/>
      <x:c r="BN64" s="184"/>
      <x:c r="BO64" s="184"/>
      <x:c r="BP64" s="184"/>
      <x:c r="BQ64" s="184"/>
      <x:c r="BR64" s="184"/>
      <x:c r="BS64" s="184"/>
      <x:c r="BT64" s="184"/>
      <x:c r="BU64" s="184"/>
      <x:c r="BV64" s="184"/>
      <x:c r="BW64" s="184"/>
      <x:c r="BX64" s="184"/>
      <x:c r="BY64" s="185"/>
    </x:row>
    <x:row r="65" ht="16.5" customHeight="1">
      <x:c r="A65"/>
      <x:c r="B65" s="165"/>
      <x:c r="C65" s="167" t="str">
        <x:v>분석 리포트 생성</x:v>
      </x:c>
      <x:c r="D65" s="143" t="str">
        <x:v>뉴스 제목 기반 테마 동향 설명 생성 기능 구현</x:v>
      </x:c>
      <x:c r="E65" s="144" t="str">
        <x:v>AI</x:v>
      </x:c>
      <x:c r="F65" s="144" t="str">
        <x:v>김웅건</x:v>
      </x:c>
      <x:c r="G65" s="145" t="d">
        <x:v>2026-10-13T00:00:00.000Z</x:v>
      </x:c>
      <x:c r="H65" s="145" t="d">
        <x:v>2026-10-13T00:00:00.000Z</x:v>
      </x:c>
      <x:c r="I65" s="146" t="n">
        <x:f>IF(OR(G65="",H65=""),"",IF(H65&lt;G65,"일정확인",H65-G65+1))</x:f>
        <x:v>1</x:v>
      </x:c>
      <x:c r="J65" s="147" t="n">
        <x:v>1</x:v>
      </x:c>
      <x:c r="K65" s="144" t="str">
        <x:f>IF(ISNUMBER(J65),IF(J65=1,"완료",IF(J65=0,"미착수","진행중")),"")</x:f>
        <x:v>완료</x:v>
      </x:c>
      <x:c r="L65" s="148" t="str">
        <x:v>동향설명</x:v>
      </x:c>
      <x:c r="M65" s="148" t="str">
        <x:v>코드·모의검사 완료</x:v>
      </x:c>
      <x:c r="N65" s="180"/>
      <x:c r="O65" s="181"/>
      <x:c r="P65" s="181"/>
      <x:c r="Q65" s="181"/>
      <x:c r="R65" s="181"/>
      <x:c r="S65" s="181"/>
      <x:c r="T65" s="181"/>
      <x:c r="U65" s="188"/>
      <x:c r="V65" s="181"/>
      <x:c r="W65" s="181"/>
      <x:c r="X65" s="181"/>
      <x:c r="Y65" s="181"/>
      <x:c r="Z65" s="181"/>
      <x:c r="AA65" s="181"/>
      <x:c r="AB65" s="181"/>
      <x:c r="AC65" s="181"/>
      <x:c r="AD65" s="181"/>
      <x:c r="AE65" s="181"/>
      <x:c r="AF65" s="181"/>
      <x:c r="AG65" s="181"/>
      <x:c r="AH65" s="181"/>
      <x:c r="AI65" s="181"/>
      <x:c r="AJ65" s="181"/>
      <x:c r="AK65" s="181"/>
      <x:c r="AL65" s="181"/>
      <x:c r="AM65" s="181"/>
      <x:c r="AN65" s="181"/>
      <x:c r="AO65" s="181"/>
      <x:c r="AP65" s="181"/>
      <x:c r="AQ65" s="181"/>
      <x:c r="AR65" s="181"/>
      <x:c r="AS65" s="181"/>
      <x:c r="AT65" s="181"/>
      <x:c r="AU65" s="181"/>
      <x:c r="AV65" s="181"/>
      <x:c r="AW65" s="181"/>
      <x:c r="AX65" s="181"/>
      <x:c r="AY65" s="181"/>
      <x:c r="AZ65" s="181"/>
      <x:c r="BA65" s="181"/>
      <x:c r="BB65" s="181"/>
      <x:c r="BC65" s="181"/>
      <x:c r="BD65" s="181"/>
      <x:c r="BE65" s="181"/>
      <x:c r="BF65" s="181"/>
      <x:c r="BG65" s="181"/>
      <x:c r="BH65" s="181"/>
      <x:c r="BI65" s="181"/>
      <x:c r="BJ65" s="181"/>
      <x:c r="BK65" s="181"/>
      <x:c r="BL65" s="181"/>
      <x:c r="BM65" s="181"/>
      <x:c r="BN65" s="181"/>
      <x:c r="BO65" s="181"/>
      <x:c r="BP65" s="181"/>
      <x:c r="BQ65" s="181"/>
      <x:c r="BR65" s="181"/>
      <x:c r="BS65" s="181"/>
      <x:c r="BT65" s="181"/>
      <x:c r="BU65" s="181"/>
      <x:c r="BV65" s="181"/>
      <x:c r="BW65" s="181"/>
      <x:c r="BX65" s="181"/>
      <x:c r="BY65" s="182"/>
    </x:row>
    <x:row r="66" ht="16.5" customHeight="1">
      <x:c r="A66"/>
      <x:c r="B66" s="165"/>
      <x:c r="C66" s="169"/>
      <x:c r="D66" s="111" t="str">
        <x:v>대표 종목 금융 지표 설명 생성 기능 구현</x:v>
      </x:c>
      <x:c r="E66" s="96" t="str">
        <x:v>AI</x:v>
      </x:c>
      <x:c r="F66" s="96" t="str">
        <x:v>김웅건</x:v>
      </x:c>
      <x:c r="G66" s="126" t="d">
        <x:v>2026-10-13T00:00:00.000Z</x:v>
      </x:c>
      <x:c r="H66" s="126" t="d">
        <x:v>2026-10-13T00:00:00.000Z</x:v>
      </x:c>
      <x:c r="I66" s="113" t="n">
        <x:f>IF(OR(G66="",H66=""),"",IF(H66&lt;G66,"일정확인",H66-G66+1))</x:f>
        <x:v>1</x:v>
      </x:c>
      <x:c r="J66" s="117" t="n">
        <x:v>1</x:v>
      </x:c>
      <x:c r="K66" s="96" t="str">
        <x:f>IF(ISNUMBER(J66),IF(J66=1,"완료",IF(J66=0,"미착수","진행중")),"")</x:f>
        <x:v>완료</x:v>
      </x:c>
      <x:c r="L66" s="119" t="str">
        <x:v>지표설명</x:v>
      </x:c>
      <x:c r="M66" s="119" t="str">
        <x:v>코드·모의검사 완료</x:v>
      </x:c>
      <x:c r="N66" s="183"/>
      <x:c r="O66" s="184"/>
      <x:c r="P66" s="184"/>
      <x:c r="Q66" s="184"/>
      <x:c r="R66" s="184"/>
      <x:c r="S66" s="184"/>
      <x:c r="T66" s="184"/>
      <x:c r="U66" s="189"/>
      <x:c r="V66" s="184"/>
      <x:c r="W66" s="184"/>
      <x:c r="X66" s="184"/>
      <x:c r="Y66" s="184"/>
      <x:c r="Z66" s="184"/>
      <x:c r="AA66" s="184"/>
      <x:c r="AB66" s="184"/>
      <x:c r="AC66" s="184"/>
      <x:c r="AD66" s="184"/>
      <x:c r="AE66" s="184"/>
      <x:c r="AF66" s="184"/>
      <x:c r="AG66" s="184"/>
      <x:c r="AH66" s="184"/>
      <x:c r="AI66" s="184"/>
      <x:c r="AJ66" s="184"/>
      <x:c r="AK66" s="184"/>
      <x:c r="AL66" s="184"/>
      <x:c r="AM66" s="184"/>
      <x:c r="AN66" s="184"/>
      <x:c r="AO66" s="184"/>
      <x:c r="AP66" s="184"/>
      <x:c r="AQ66" s="184"/>
      <x:c r="AR66" s="184"/>
      <x:c r="AS66" s="184"/>
      <x:c r="AT66" s="184"/>
      <x:c r="AU66" s="184"/>
      <x:c r="AV66" s="184"/>
      <x:c r="AW66" s="184"/>
      <x:c r="AX66" s="184"/>
      <x:c r="AY66" s="184"/>
      <x:c r="AZ66" s="184"/>
      <x:c r="BA66" s="184"/>
      <x:c r="BB66" s="184"/>
      <x:c r="BC66" s="184"/>
      <x:c r="BD66" s="184"/>
      <x:c r="BE66" s="184"/>
      <x:c r="BF66" s="184"/>
      <x:c r="BG66" s="184"/>
      <x:c r="BH66" s="184"/>
      <x:c r="BI66" s="184"/>
      <x:c r="BJ66" s="184"/>
      <x:c r="BK66" s="184"/>
      <x:c r="BL66" s="184"/>
      <x:c r="BM66" s="184"/>
      <x:c r="BN66" s="184"/>
      <x:c r="BO66" s="184"/>
      <x:c r="BP66" s="184"/>
      <x:c r="BQ66" s="184"/>
      <x:c r="BR66" s="184"/>
      <x:c r="BS66" s="184"/>
      <x:c r="BT66" s="184"/>
      <x:c r="BU66" s="184"/>
      <x:c r="BV66" s="184"/>
      <x:c r="BW66" s="184"/>
      <x:c r="BX66" s="184"/>
      <x:c r="BY66" s="185"/>
    </x:row>
    <x:row r="67" ht="16.5" customHeight="1">
      <x:c r="A67"/>
      <x:c r="B67" s="165"/>
      <x:c r="C67" s="169"/>
      <x:c r="D67" s="111" t="str">
        <x:v>기회·위험·종합 의견의 핵심 인사이트 생성 기능 구현</x:v>
      </x:c>
      <x:c r="E67" s="96" t="str">
        <x:v>AI</x:v>
      </x:c>
      <x:c r="F67" s="96" t="str">
        <x:v>김웅건</x:v>
      </x:c>
      <x:c r="G67" s="126" t="d">
        <x:v>2026-10-13T00:00:00.000Z</x:v>
      </x:c>
      <x:c r="H67" s="126" t="d">
        <x:v>2026-10-13T00:00:00.000Z</x:v>
      </x:c>
      <x:c r="I67" s="113" t="n">
        <x:f>IF(OR(G67="",H67=""),"",IF(H67&lt;G67,"일정확인",H67-G67+1))</x:f>
        <x:v>1</x:v>
      </x:c>
      <x:c r="J67" s="117" t="n">
        <x:v>1</x:v>
      </x:c>
      <x:c r="K67" s="96" t="str">
        <x:f>IF(ISNUMBER(J67),IF(J67=1,"완료",IF(J67=0,"미착수","진행중")),"")</x:f>
        <x:v>완료</x:v>
      </x:c>
      <x:c r="L67" s="119" t="str">
        <x:v>핵심요약</x:v>
      </x:c>
      <x:c r="M67" s="119" t="str">
        <x:v>코드·모의검사 완료</x:v>
      </x:c>
      <x:c r="N67" s="183"/>
      <x:c r="O67" s="184"/>
      <x:c r="P67" s="184"/>
      <x:c r="Q67" s="184"/>
      <x:c r="R67" s="184"/>
      <x:c r="S67" s="184"/>
      <x:c r="T67" s="184"/>
      <x:c r="U67" s="189"/>
      <x:c r="V67" s="184"/>
      <x:c r="W67" s="184"/>
      <x:c r="X67" s="184"/>
      <x:c r="Y67" s="184"/>
      <x:c r="Z67" s="184"/>
      <x:c r="AA67" s="184"/>
      <x:c r="AB67" s="184"/>
      <x:c r="AC67" s="184"/>
      <x:c r="AD67" s="184"/>
      <x:c r="AE67" s="184"/>
      <x:c r="AF67" s="184"/>
      <x:c r="AG67" s="184"/>
      <x:c r="AH67" s="184"/>
      <x:c r="AI67" s="184"/>
      <x:c r="AJ67" s="184"/>
      <x:c r="AK67" s="184"/>
      <x:c r="AL67" s="184"/>
      <x:c r="AM67" s="184"/>
      <x:c r="AN67" s="184"/>
      <x:c r="AO67" s="184"/>
      <x:c r="AP67" s="184"/>
      <x:c r="AQ67" s="184"/>
      <x:c r="AR67" s="184"/>
      <x:c r="AS67" s="184"/>
      <x:c r="AT67" s="184"/>
      <x:c r="AU67" s="184"/>
      <x:c r="AV67" s="184"/>
      <x:c r="AW67" s="184"/>
      <x:c r="AX67" s="184"/>
      <x:c r="AY67" s="184"/>
      <x:c r="AZ67" s="184"/>
      <x:c r="BA67" s="184"/>
      <x:c r="BB67" s="184"/>
      <x:c r="BC67" s="184"/>
      <x:c r="BD67" s="184"/>
      <x:c r="BE67" s="184"/>
      <x:c r="BF67" s="184"/>
      <x:c r="BG67" s="184"/>
      <x:c r="BH67" s="184"/>
      <x:c r="BI67" s="184"/>
      <x:c r="BJ67" s="184"/>
      <x:c r="BK67" s="184"/>
      <x:c r="BL67" s="184"/>
      <x:c r="BM67" s="184"/>
      <x:c r="BN67" s="184"/>
      <x:c r="BO67" s="184"/>
      <x:c r="BP67" s="184"/>
      <x:c r="BQ67" s="184"/>
      <x:c r="BR67" s="184"/>
      <x:c r="BS67" s="184"/>
      <x:c r="BT67" s="184"/>
      <x:c r="BU67" s="184"/>
      <x:c r="BV67" s="184"/>
      <x:c r="BW67" s="184"/>
      <x:c r="BX67" s="184"/>
      <x:c r="BY67" s="185"/>
    </x:row>
    <x:row r="68" ht="16.5" customHeight="1">
      <x:c r="A68"/>
      <x:c r="B68" s="165"/>
      <x:c r="C68" s="170"/>
      <x:c r="D68" s="111" t="str">
        <x:v>대표 종목 재무제표 설명 생성 기능 구현</x:v>
      </x:c>
      <x:c r="E68" s="96" t="str">
        <x:v>AI</x:v>
      </x:c>
      <x:c r="F68" s="96" t="str">
        <x:v>김웅건</x:v>
      </x:c>
      <x:c r="G68" s="126" t="d">
        <x:v>2026-11-24T00:00:00.000Z</x:v>
      </x:c>
      <x:c r="H68" s="126" t="d">
        <x:v>2026-11-24T00:00:00.000Z</x:v>
      </x:c>
      <x:c r="I68" s="113" t="n">
        <x:f>IF(OR(G68="",H68=""),"",IF(H68&lt;G68,"일정확인",H68-G68+1))</x:f>
        <x:v>1</x:v>
      </x:c>
      <x:c r="J68" s="117" t="n">
        <x:v>0</x:v>
      </x:c>
      <x:c r="K68" s="96" t="str">
        <x:f>IF(ISNUMBER(J68),IF(J68=1,"완료",IF(J68=0,"미착수","진행중")),"")</x:f>
        <x:v>미착수</x:v>
      </x:c>
      <x:c r="L68" s="119" t="str">
        <x:v>재무설명</x:v>
      </x:c>
      <x:c r="M68" s="119" t="str">
        <x:v>분석 기능 확장</x:v>
      </x:c>
      <x:c r="N68" s="183"/>
      <x:c r="O68" s="184"/>
      <x:c r="P68" s="184"/>
      <x:c r="Q68" s="184"/>
      <x:c r="R68" s="184"/>
      <x:c r="S68" s="184"/>
      <x:c r="T68" s="184"/>
      <x:c r="U68" s="183"/>
      <x:c r="V68" s="184"/>
      <x:c r="W68" s="184"/>
      <x:c r="X68" s="184"/>
      <x:c r="Y68" s="184"/>
      <x:c r="Z68" s="184"/>
      <x:c r="AA68" s="184"/>
      <x:c r="AB68" s="184"/>
      <x:c r="AC68" s="184"/>
      <x:c r="AD68" s="184"/>
      <x:c r="AE68" s="184"/>
      <x:c r="AF68" s="184"/>
      <x:c r="AG68" s="184"/>
      <x:c r="AH68" s="184"/>
      <x:c r="AI68" s="184"/>
      <x:c r="AJ68" s="184"/>
      <x:c r="AK68" s="184"/>
      <x:c r="AL68" s="184"/>
      <x:c r="AM68" s="184"/>
      <x:c r="AN68" s="184"/>
      <x:c r="AO68" s="184"/>
      <x:c r="AP68" s="184"/>
      <x:c r="AQ68" s="184"/>
      <x:c r="AR68" s="184"/>
      <x:c r="AS68" s="184"/>
      <x:c r="AT68" s="184"/>
      <x:c r="AU68" s="184"/>
      <x:c r="AV68" s="184"/>
      <x:c r="AW68" s="184"/>
      <x:c r="AX68" s="184"/>
      <x:c r="AY68" s="184"/>
      <x:c r="AZ68" s="184"/>
      <x:c r="BA68" s="184"/>
      <x:c r="BB68" s="184"/>
      <x:c r="BC68" s="184"/>
      <x:c r="BD68" s="184"/>
      <x:c r="BE68" s="184"/>
      <x:c r="BF68" s="184"/>
      <x:c r="BG68" s="184"/>
      <x:c r="BH68" s="184"/>
      <x:c r="BI68" s="184"/>
      <x:c r="BJ68" s="184"/>
      <x:c r="BK68" s="184"/>
      <x:c r="BL68" s="184"/>
      <x:c r="BM68" s="184"/>
      <x:c r="BN68" s="184"/>
      <x:c r="BO68" s="184"/>
      <x:c r="BP68" s="184"/>
      <x:c r="BQ68" s="184"/>
      <x:c r="BR68" s="184"/>
      <x:c r="BS68" s="184"/>
      <x:c r="BT68" s="184"/>
      <x:c r="BU68" s="184"/>
      <x:c r="BV68" s="184"/>
      <x:c r="BW68" s="184"/>
      <x:c r="BX68" s="184"/>
      <x:c r="BY68" s="185"/>
    </x:row>
    <x:row r="69" ht="16.5" customHeight="1">
      <x:c r="A69"/>
      <x:c r="B69" s="165"/>
      <x:c r="C69" s="167" t="str">
        <x:v>AI 응답 검사</x:v>
      </x:c>
      <x:c r="D69" s="143" t="str">
        <x:v>리포트 필수 항목과 응답 형식 검사 기능 구현</x:v>
      </x:c>
      <x:c r="E69" s="144" t="str">
        <x:v>AI</x:v>
      </x:c>
      <x:c r="F69" s="144" t="str">
        <x:v>김웅건</x:v>
      </x:c>
      <x:c r="G69" s="145" t="d">
        <x:v>2026-10-13T00:00:00.000Z</x:v>
      </x:c>
      <x:c r="H69" s="145" t="d">
        <x:v>2026-10-13T00:00:00.000Z</x:v>
      </x:c>
      <x:c r="I69" s="146" t="n">
        <x:f>IF(OR(G69="",H69=""),"",IF(H69&lt;G69,"일정확인",H69-G69+1))</x:f>
        <x:v>1</x:v>
      </x:c>
      <x:c r="J69" s="147" t="n">
        <x:v>1</x:v>
      </x:c>
      <x:c r="K69" s="144" t="str">
        <x:f>IF(ISNUMBER(J69),IF(J69=1,"완료",IF(J69=0,"미착수","진행중")),"")</x:f>
        <x:v>완료</x:v>
      </x:c>
      <x:c r="L69" s="148" t="str">
        <x:v>형식검사</x:v>
      </x:c>
      <x:c r="M69" s="148" t="str">
        <x:v>코드·모의검사 완료</x:v>
      </x:c>
      <x:c r="N69" s="180"/>
      <x:c r="O69" s="181"/>
      <x:c r="P69" s="181"/>
      <x:c r="Q69" s="181"/>
      <x:c r="R69" s="181"/>
      <x:c r="S69" s="181"/>
      <x:c r="T69" s="181"/>
      <x:c r="U69" s="188"/>
      <x:c r="V69" s="181"/>
      <x:c r="W69" s="181"/>
      <x:c r="X69" s="181"/>
      <x:c r="Y69" s="181"/>
      <x:c r="Z69" s="181"/>
      <x:c r="AA69" s="181"/>
      <x:c r="AB69" s="181"/>
      <x:c r="AC69" s="181"/>
      <x:c r="AD69" s="181"/>
      <x:c r="AE69" s="181"/>
      <x:c r="AF69" s="181"/>
      <x:c r="AG69" s="181"/>
      <x:c r="AH69" s="181"/>
      <x:c r="AI69" s="181"/>
      <x:c r="AJ69" s="181"/>
      <x:c r="AK69" s="181"/>
      <x:c r="AL69" s="181"/>
      <x:c r="AM69" s="181"/>
      <x:c r="AN69" s="181"/>
      <x:c r="AO69" s="181"/>
      <x:c r="AP69" s="181"/>
      <x:c r="AQ69" s="181"/>
      <x:c r="AR69" s="181"/>
      <x:c r="AS69" s="181"/>
      <x:c r="AT69" s="181"/>
      <x:c r="AU69" s="181"/>
      <x:c r="AV69" s="181"/>
      <x:c r="AW69" s="181"/>
      <x:c r="AX69" s="181"/>
      <x:c r="AY69" s="181"/>
      <x:c r="AZ69" s="181"/>
      <x:c r="BA69" s="181"/>
      <x:c r="BB69" s="181"/>
      <x:c r="BC69" s="181"/>
      <x:c r="BD69" s="181"/>
      <x:c r="BE69" s="181"/>
      <x:c r="BF69" s="181"/>
      <x:c r="BG69" s="181"/>
      <x:c r="BH69" s="181"/>
      <x:c r="BI69" s="181"/>
      <x:c r="BJ69" s="181"/>
      <x:c r="BK69" s="181"/>
      <x:c r="BL69" s="181"/>
      <x:c r="BM69" s="181"/>
      <x:c r="BN69" s="181"/>
      <x:c r="BO69" s="181"/>
      <x:c r="BP69" s="181"/>
      <x:c r="BQ69" s="181"/>
      <x:c r="BR69" s="181"/>
      <x:c r="BS69" s="181"/>
      <x:c r="BT69" s="181"/>
      <x:c r="BU69" s="181"/>
      <x:c r="BV69" s="181"/>
      <x:c r="BW69" s="181"/>
      <x:c r="BX69" s="181"/>
      <x:c r="BY69" s="182"/>
    </x:row>
    <x:row r="70" ht="16.5" customHeight="1">
      <x:c r="A70"/>
      <x:c r="B70" s="165"/>
      <x:c r="C70" s="169"/>
      <x:c r="D70" s="111" t="str">
        <x:v>AI 응답의 종목명·금융 수치 일치 검사 기능 구현</x:v>
      </x:c>
      <x:c r="E70" s="96" t="str">
        <x:v>AI</x:v>
      </x:c>
      <x:c r="F70" s="96" t="str">
        <x:v>김웅건</x:v>
      </x:c>
      <x:c r="G70" s="126" t="d">
        <x:v>2026-10-13T00:00:00.000Z</x:v>
      </x:c>
      <x:c r="H70" s="126" t="d">
        <x:v>2026-10-13T00:00:00.000Z</x:v>
      </x:c>
      <x:c r="I70" s="113" t="n">
        <x:f>IF(OR(G70="",H70=""),"",IF(H70&lt;G70,"일정확인",H70-G70+1))</x:f>
        <x:v>1</x:v>
      </x:c>
      <x:c r="J70" s="117" t="n">
        <x:v>1</x:v>
      </x:c>
      <x:c r="K70" s="96" t="str">
        <x:f>IF(ISNUMBER(J70),IF(J70=1,"완료",IF(J70=0,"미착수","진행중")),"")</x:f>
        <x:v>완료</x:v>
      </x:c>
      <x:c r="L70" s="119" t="str">
        <x:v>수치검사</x:v>
      </x:c>
      <x:c r="M70" s="119" t="str">
        <x:v>코드·모의검사 완료</x:v>
      </x:c>
      <x:c r="N70" s="183"/>
      <x:c r="O70" s="184"/>
      <x:c r="P70" s="184"/>
      <x:c r="Q70" s="184"/>
      <x:c r="R70" s="184"/>
      <x:c r="S70" s="184"/>
      <x:c r="T70" s="184"/>
      <x:c r="U70" s="189"/>
      <x:c r="V70" s="184"/>
      <x:c r="W70" s="184"/>
      <x:c r="X70" s="184"/>
      <x:c r="Y70" s="184"/>
      <x:c r="Z70" s="184"/>
      <x:c r="AA70" s="184"/>
      <x:c r="AB70" s="184"/>
      <x:c r="AC70" s="184"/>
      <x:c r="AD70" s="184"/>
      <x:c r="AE70" s="184"/>
      <x:c r="AF70" s="184"/>
      <x:c r="AG70" s="184"/>
      <x:c r="AH70" s="184"/>
      <x:c r="AI70" s="184"/>
      <x:c r="AJ70" s="184"/>
      <x:c r="AK70" s="184"/>
      <x:c r="AL70" s="184"/>
      <x:c r="AM70" s="184"/>
      <x:c r="AN70" s="184"/>
      <x:c r="AO70" s="184"/>
      <x:c r="AP70" s="184"/>
      <x:c r="AQ70" s="184"/>
      <x:c r="AR70" s="184"/>
      <x:c r="AS70" s="184"/>
      <x:c r="AT70" s="184"/>
      <x:c r="AU70" s="184"/>
      <x:c r="AV70" s="184"/>
      <x:c r="AW70" s="184"/>
      <x:c r="AX70" s="184"/>
      <x:c r="AY70" s="184"/>
      <x:c r="AZ70" s="184"/>
      <x:c r="BA70" s="184"/>
      <x:c r="BB70" s="184"/>
      <x:c r="BC70" s="184"/>
      <x:c r="BD70" s="184"/>
      <x:c r="BE70" s="184"/>
      <x:c r="BF70" s="184"/>
      <x:c r="BG70" s="184"/>
      <x:c r="BH70" s="184"/>
      <x:c r="BI70" s="184"/>
      <x:c r="BJ70" s="184"/>
      <x:c r="BK70" s="184"/>
      <x:c r="BL70" s="184"/>
      <x:c r="BM70" s="184"/>
      <x:c r="BN70" s="184"/>
      <x:c r="BO70" s="184"/>
      <x:c r="BP70" s="184"/>
      <x:c r="BQ70" s="184"/>
      <x:c r="BR70" s="184"/>
      <x:c r="BS70" s="184"/>
      <x:c r="BT70" s="184"/>
      <x:c r="BU70" s="184"/>
      <x:c r="BV70" s="184"/>
      <x:c r="BW70" s="184"/>
      <x:c r="BX70" s="184"/>
      <x:c r="BY70" s="185"/>
    </x:row>
    <x:row r="71" ht="16.5" customHeight="1">
      <x:c r="A71"/>
      <x:c r="B71" s="165"/>
      <x:c r="C71" s="169"/>
      <x:c r="D71" s="111" t="str">
        <x:v>설명에 연결된 뉴스 근거 번호 검사 기능 구현</x:v>
      </x:c>
      <x:c r="E71" s="96" t="str">
        <x:v>AI</x:v>
      </x:c>
      <x:c r="F71" s="96" t="str">
        <x:v>김웅건</x:v>
      </x:c>
      <x:c r="G71" s="126" t="d">
        <x:v>2026-10-13T00:00:00.000Z</x:v>
      </x:c>
      <x:c r="H71" s="126" t="d">
        <x:v>2026-10-13T00:00:00.000Z</x:v>
      </x:c>
      <x:c r="I71" s="113" t="n">
        <x:f>IF(OR(G71="",H71=""),"",IF(H71&lt;G71,"일정확인",H71-G71+1))</x:f>
        <x:v>1</x:v>
      </x:c>
      <x:c r="J71" s="117" t="n">
        <x:v>1</x:v>
      </x:c>
      <x:c r="K71" s="96" t="str">
        <x:f>IF(ISNUMBER(J71),IF(J71=1,"완료",IF(J71=0,"미착수","진행중")),"")</x:f>
        <x:v>완료</x:v>
      </x:c>
      <x:c r="L71" s="119" t="str">
        <x:v>근거검사</x:v>
      </x:c>
      <x:c r="M71" s="119" t="str">
        <x:v>코드·모의검사 완료</x:v>
      </x:c>
      <x:c r="N71" s="183"/>
      <x:c r="O71" s="184"/>
      <x:c r="P71" s="184"/>
      <x:c r="Q71" s="184"/>
      <x:c r="R71" s="184"/>
      <x:c r="S71" s="184"/>
      <x:c r="T71" s="184"/>
      <x:c r="U71" s="189"/>
      <x:c r="V71" s="184"/>
      <x:c r="W71" s="184"/>
      <x:c r="X71" s="184"/>
      <x:c r="Y71" s="184"/>
      <x:c r="Z71" s="184"/>
      <x:c r="AA71" s="184"/>
      <x:c r="AB71" s="184"/>
      <x:c r="AC71" s="184"/>
      <x:c r="AD71" s="184"/>
      <x:c r="AE71" s="184"/>
      <x:c r="AF71" s="184"/>
      <x:c r="AG71" s="184"/>
      <x:c r="AH71" s="184"/>
      <x:c r="AI71" s="184"/>
      <x:c r="AJ71" s="184"/>
      <x:c r="AK71" s="184"/>
      <x:c r="AL71" s="184"/>
      <x:c r="AM71" s="184"/>
      <x:c r="AN71" s="184"/>
      <x:c r="AO71" s="184"/>
      <x:c r="AP71" s="184"/>
      <x:c r="AQ71" s="184"/>
      <x:c r="AR71" s="184"/>
      <x:c r="AS71" s="184"/>
      <x:c r="AT71" s="184"/>
      <x:c r="AU71" s="184"/>
      <x:c r="AV71" s="184"/>
      <x:c r="AW71" s="184"/>
      <x:c r="AX71" s="184"/>
      <x:c r="AY71" s="184"/>
      <x:c r="AZ71" s="184"/>
      <x:c r="BA71" s="184"/>
      <x:c r="BB71" s="184"/>
      <x:c r="BC71" s="184"/>
      <x:c r="BD71" s="184"/>
      <x:c r="BE71" s="184"/>
      <x:c r="BF71" s="184"/>
      <x:c r="BG71" s="184"/>
      <x:c r="BH71" s="184"/>
      <x:c r="BI71" s="184"/>
      <x:c r="BJ71" s="184"/>
      <x:c r="BK71" s="184"/>
      <x:c r="BL71" s="184"/>
      <x:c r="BM71" s="184"/>
      <x:c r="BN71" s="184"/>
      <x:c r="BO71" s="184"/>
      <x:c r="BP71" s="184"/>
      <x:c r="BQ71" s="184"/>
      <x:c r="BR71" s="184"/>
      <x:c r="BS71" s="184"/>
      <x:c r="BT71" s="184"/>
      <x:c r="BU71" s="184"/>
      <x:c r="BV71" s="184"/>
      <x:c r="BW71" s="184"/>
      <x:c r="BX71" s="184"/>
      <x:c r="BY71" s="185"/>
    </x:row>
    <x:row r="72" ht="16.5" customHeight="1">
      <x:c r="A72"/>
      <x:c r="B72" s="166"/>
      <x:c r="C72" s="170"/>
      <x:c r="D72" s="111" t="str">
        <x:v>미제공 수치·임의 링크·투자 추천 표현 검사 기능 구현</x:v>
      </x:c>
      <x:c r="E72" s="96" t="str">
        <x:v>AI</x:v>
      </x:c>
      <x:c r="F72" s="96" t="str">
        <x:v>김웅건</x:v>
      </x:c>
      <x:c r="G72" s="126" t="d">
        <x:v>2026-10-13T00:00:00.000Z</x:v>
      </x:c>
      <x:c r="H72" s="126" t="d">
        <x:v>2026-10-13T00:00:00.000Z</x:v>
      </x:c>
      <x:c r="I72" s="113" t="n">
        <x:f>IF(OR(G72="",H72=""),"",IF(H72&lt;G72,"일정확인",H72-G72+1))</x:f>
        <x:v>1</x:v>
      </x:c>
      <x:c r="J72" s="117" t="n">
        <x:v>1</x:v>
      </x:c>
      <x:c r="K72" s="96" t="str">
        <x:f>IF(ISNUMBER(J72),IF(J72=1,"완료",IF(J72=0,"미착수","진행중")),"")</x:f>
        <x:v>완료</x:v>
      </x:c>
      <x:c r="L72" s="119" t="str">
        <x:v>표현검사</x:v>
      </x:c>
      <x:c r="M72" s="119" t="str">
        <x:v>코드·모의검사 완료</x:v>
      </x:c>
      <x:c r="N72" s="183"/>
      <x:c r="O72" s="184"/>
      <x:c r="P72" s="184"/>
      <x:c r="Q72" s="184"/>
      <x:c r="R72" s="184"/>
      <x:c r="S72" s="184"/>
      <x:c r="T72" s="184"/>
      <x:c r="U72" s="189"/>
      <x:c r="V72" s="184"/>
      <x:c r="W72" s="184"/>
      <x:c r="X72" s="184"/>
      <x:c r="Y72" s="184"/>
      <x:c r="Z72" s="184"/>
      <x:c r="AA72" s="184"/>
      <x:c r="AB72" s="184"/>
      <x:c r="AC72" s="184"/>
      <x:c r="AD72" s="184"/>
      <x:c r="AE72" s="184"/>
      <x:c r="AF72" s="184"/>
      <x:c r="AG72" s="184"/>
      <x:c r="AH72" s="184"/>
      <x:c r="AI72" s="184"/>
      <x:c r="AJ72" s="184"/>
      <x:c r="AK72" s="184"/>
      <x:c r="AL72" s="184"/>
      <x:c r="AM72" s="184"/>
      <x:c r="AN72" s="184"/>
      <x:c r="AO72" s="184"/>
      <x:c r="AP72" s="184"/>
      <x:c r="AQ72" s="184"/>
      <x:c r="AR72" s="184"/>
      <x:c r="AS72" s="184"/>
      <x:c r="AT72" s="184"/>
      <x:c r="AU72" s="184"/>
      <x:c r="AV72" s="184"/>
      <x:c r="AW72" s="184"/>
      <x:c r="AX72" s="184"/>
      <x:c r="AY72" s="184"/>
      <x:c r="AZ72" s="184"/>
      <x:c r="BA72" s="184"/>
      <x:c r="BB72" s="184"/>
      <x:c r="BC72" s="184"/>
      <x:c r="BD72" s="184"/>
      <x:c r="BE72" s="184"/>
      <x:c r="BF72" s="184"/>
      <x:c r="BG72" s="184"/>
      <x:c r="BH72" s="184"/>
      <x:c r="BI72" s="184"/>
      <x:c r="BJ72" s="184"/>
      <x:c r="BK72" s="184"/>
      <x:c r="BL72" s="184"/>
      <x:c r="BM72" s="184"/>
      <x:c r="BN72" s="184"/>
      <x:c r="BO72" s="184"/>
      <x:c r="BP72" s="184"/>
      <x:c r="BQ72" s="184"/>
      <x:c r="BR72" s="184"/>
      <x:c r="BS72" s="184"/>
      <x:c r="BT72" s="184"/>
      <x:c r="BU72" s="184"/>
      <x:c r="BV72" s="184"/>
      <x:c r="BW72" s="184"/>
      <x:c r="BX72" s="184"/>
      <x:c r="BY72" s="185"/>
    </x:row>
    <x:row r="73" ht="16.5" customHeight="1">
      <x:c r="A73"/>
      <x:c r="B73" s="164" t="str">
        <x:v>사용자 화면 개발</x:v>
      </x:c>
      <x:c r="C73" s="167" t="str">
        <x:v>대화형 검색 화면 구성</x:v>
      </x:c>
      <x:c r="D73" s="143" t="str">
        <x:v>테마 입력창과 분석 요청 기능 구현</x:v>
      </x:c>
      <x:c r="E73" s="144" t="str">
        <x:v>화면</x:v>
      </x:c>
      <x:c r="F73" s="144" t="str">
        <x:v>김웅건</x:v>
      </x:c>
      <x:c r="G73" s="145" t="d">
        <x:v>2026-10-13T00:00:00.000Z</x:v>
      </x:c>
      <x:c r="H73" s="145" t="d">
        <x:v>2026-10-13T00:00:00.000Z</x:v>
      </x:c>
      <x:c r="I73" s="146" t="n">
        <x:f>IF(OR(G73="",H73=""),"",IF(H73&lt;G73,"일정확인",H73-G73+1))</x:f>
        <x:v>1</x:v>
      </x:c>
      <x:c r="J73" s="147" t="n">
        <x:v>1</x:v>
      </x:c>
      <x:c r="K73" s="144" t="str">
        <x:f>IF(ISNUMBER(J73),IF(J73=1,"완료",IF(J73=0,"미착수","진행중")),"")</x:f>
        <x:v>완료</x:v>
      </x:c>
      <x:c r="L73" s="148" t="str">
        <x:v>검색화면</x:v>
      </x:c>
      <x:c r="M73" s="148" t="str">
        <x:v>화면 코드·모의검사 완료</x:v>
      </x:c>
      <x:c r="N73" s="180"/>
      <x:c r="O73" s="181"/>
      <x:c r="P73" s="181"/>
      <x:c r="Q73" s="181"/>
      <x:c r="R73" s="181"/>
      <x:c r="S73" s="181"/>
      <x:c r="T73" s="181"/>
      <x:c r="U73" s="188"/>
      <x:c r="V73" s="181"/>
      <x:c r="W73" s="181"/>
      <x:c r="X73" s="181"/>
      <x:c r="Y73" s="181"/>
      <x:c r="Z73" s="181"/>
      <x:c r="AA73" s="181"/>
      <x:c r="AB73" s="181"/>
      <x:c r="AC73" s="181"/>
      <x:c r="AD73" s="181"/>
      <x:c r="AE73" s="181"/>
      <x:c r="AF73" s="181"/>
      <x:c r="AG73" s="181"/>
      <x:c r="AH73" s="181"/>
      <x:c r="AI73" s="181"/>
      <x:c r="AJ73" s="181"/>
      <x:c r="AK73" s="181"/>
      <x:c r="AL73" s="181"/>
      <x:c r="AM73" s="181"/>
      <x:c r="AN73" s="181"/>
      <x:c r="AO73" s="181"/>
      <x:c r="AP73" s="181"/>
      <x:c r="AQ73" s="181"/>
      <x:c r="AR73" s="181"/>
      <x:c r="AS73" s="181"/>
      <x:c r="AT73" s="181"/>
      <x:c r="AU73" s="181"/>
      <x:c r="AV73" s="181"/>
      <x:c r="AW73" s="181"/>
      <x:c r="AX73" s="181"/>
      <x:c r="AY73" s="181"/>
      <x:c r="AZ73" s="181"/>
      <x:c r="BA73" s="181"/>
      <x:c r="BB73" s="181"/>
      <x:c r="BC73" s="181"/>
      <x:c r="BD73" s="181"/>
      <x:c r="BE73" s="181"/>
      <x:c r="BF73" s="181"/>
      <x:c r="BG73" s="181"/>
      <x:c r="BH73" s="181"/>
      <x:c r="BI73" s="181"/>
      <x:c r="BJ73" s="181"/>
      <x:c r="BK73" s="181"/>
      <x:c r="BL73" s="181"/>
      <x:c r="BM73" s="181"/>
      <x:c r="BN73" s="181"/>
      <x:c r="BO73" s="181"/>
      <x:c r="BP73" s="181"/>
      <x:c r="BQ73" s="181"/>
      <x:c r="BR73" s="181"/>
      <x:c r="BS73" s="181"/>
      <x:c r="BT73" s="181"/>
      <x:c r="BU73" s="181"/>
      <x:c r="BV73" s="181"/>
      <x:c r="BW73" s="181"/>
      <x:c r="BX73" s="181"/>
      <x:c r="BY73" s="182"/>
    </x:row>
    <x:row r="74" ht="16.5" customHeight="1">
      <x:c r="A74"/>
      <x:c r="B74" s="165"/>
      <x:c r="C74" s="169"/>
      <x:c r="D74" s="111" t="str">
        <x:v>사용자 입력 내용과 분석 진행 상태 표시 기능 구현</x:v>
      </x:c>
      <x:c r="E74" s="96" t="str">
        <x:v>화면</x:v>
      </x:c>
      <x:c r="F74" s="96" t="str">
        <x:v>김웅건</x:v>
      </x:c>
      <x:c r="G74" s="126" t="d">
        <x:v>2026-10-13T00:00:00.000Z</x:v>
      </x:c>
      <x:c r="H74" s="126" t="d">
        <x:v>2026-10-13T00:00:00.000Z</x:v>
      </x:c>
      <x:c r="I74" s="113" t="n">
        <x:f>IF(OR(G74="",H74=""),"",IF(H74&lt;G74,"일정확인",H74-G74+1))</x:f>
        <x:v>1</x:v>
      </x:c>
      <x:c r="J74" s="117" t="n">
        <x:v>1</x:v>
      </x:c>
      <x:c r="K74" s="96" t="str">
        <x:f>IF(ISNUMBER(J74),IF(J74=1,"완료",IF(J74=0,"미착수","진행중")),"")</x:f>
        <x:v>완료</x:v>
      </x:c>
      <x:c r="L74" s="119" t="str">
        <x:v>진행표시</x:v>
      </x:c>
      <x:c r="M74" s="119" t="str">
        <x:v>화면 코드·모의검사 완료</x:v>
      </x:c>
      <x:c r="N74" s="183"/>
      <x:c r="O74" s="184"/>
      <x:c r="P74" s="184"/>
      <x:c r="Q74" s="184"/>
      <x:c r="R74" s="184"/>
      <x:c r="S74" s="184"/>
      <x:c r="T74" s="184"/>
      <x:c r="U74" s="189"/>
      <x:c r="V74" s="184"/>
      <x:c r="W74" s="184"/>
      <x:c r="X74" s="184"/>
      <x:c r="Y74" s="184"/>
      <x:c r="Z74" s="184"/>
      <x:c r="AA74" s="184"/>
      <x:c r="AB74" s="184"/>
      <x:c r="AC74" s="184"/>
      <x:c r="AD74" s="184"/>
      <x:c r="AE74" s="184"/>
      <x:c r="AF74" s="184"/>
      <x:c r="AG74" s="184"/>
      <x:c r="AH74" s="184"/>
      <x:c r="AI74" s="184"/>
      <x:c r="AJ74" s="184"/>
      <x:c r="AK74" s="184"/>
      <x:c r="AL74" s="184"/>
      <x:c r="AM74" s="184"/>
      <x:c r="AN74" s="184"/>
      <x:c r="AO74" s="184"/>
      <x:c r="AP74" s="184"/>
      <x:c r="AQ74" s="184"/>
      <x:c r="AR74" s="184"/>
      <x:c r="AS74" s="184"/>
      <x:c r="AT74" s="184"/>
      <x:c r="AU74" s="184"/>
      <x:c r="AV74" s="184"/>
      <x:c r="AW74" s="184"/>
      <x:c r="AX74" s="184"/>
      <x:c r="AY74" s="184"/>
      <x:c r="AZ74" s="184"/>
      <x:c r="BA74" s="184"/>
      <x:c r="BB74" s="184"/>
      <x:c r="BC74" s="184"/>
      <x:c r="BD74" s="184"/>
      <x:c r="BE74" s="184"/>
      <x:c r="BF74" s="184"/>
      <x:c r="BG74" s="184"/>
      <x:c r="BH74" s="184"/>
      <x:c r="BI74" s="184"/>
      <x:c r="BJ74" s="184"/>
      <x:c r="BK74" s="184"/>
      <x:c r="BL74" s="184"/>
      <x:c r="BM74" s="184"/>
      <x:c r="BN74" s="184"/>
      <x:c r="BO74" s="184"/>
      <x:c r="BP74" s="184"/>
      <x:c r="BQ74" s="184"/>
      <x:c r="BR74" s="184"/>
      <x:c r="BS74" s="184"/>
      <x:c r="BT74" s="184"/>
      <x:c r="BU74" s="184"/>
      <x:c r="BV74" s="184"/>
      <x:c r="BW74" s="184"/>
      <x:c r="BX74" s="184"/>
      <x:c r="BY74" s="185"/>
    </x:row>
    <x:row r="75" ht="16.5" customHeight="1">
      <x:c r="A75"/>
      <x:c r="B75" s="165"/>
      <x:c r="C75" s="170"/>
      <x:c r="D75" s="111" t="str">
        <x:v>빈 입력·재입력 안내·기존 결과 초기화 기능 구현</x:v>
      </x:c>
      <x:c r="E75" s="96" t="str">
        <x:v>화면</x:v>
      </x:c>
      <x:c r="F75" s="96" t="str">
        <x:v>김웅건</x:v>
      </x:c>
      <x:c r="G75" s="126" t="d">
        <x:v>2026-10-13T00:00:00.000Z</x:v>
      </x:c>
      <x:c r="H75" s="126" t="d">
        <x:v>2026-10-13T00:00:00.000Z</x:v>
      </x:c>
      <x:c r="I75" s="113" t="n">
        <x:f>IF(OR(G75="",H75=""),"",IF(H75&lt;G75,"일정확인",H75-G75+1))</x:f>
        <x:v>1</x:v>
      </x:c>
      <x:c r="J75" s="117" t="n">
        <x:v>1</x:v>
      </x:c>
      <x:c r="K75" s="96" t="str">
        <x:f>IF(ISNUMBER(J75),IF(J75=1,"완료",IF(J75=0,"미착수","진행중")),"")</x:f>
        <x:v>완료</x:v>
      </x:c>
      <x:c r="L75" s="119" t="str">
        <x:v>입력상태</x:v>
      </x:c>
      <x:c r="M75" s="119" t="str">
        <x:v>화면 코드·모의검사 완료</x:v>
      </x:c>
      <x:c r="N75" s="183"/>
      <x:c r="O75" s="184"/>
      <x:c r="P75" s="184"/>
      <x:c r="Q75" s="184"/>
      <x:c r="R75" s="184"/>
      <x:c r="S75" s="184"/>
      <x:c r="T75" s="184"/>
      <x:c r="U75" s="189"/>
      <x:c r="V75" s="184"/>
      <x:c r="W75" s="184"/>
      <x:c r="X75" s="184"/>
      <x:c r="Y75" s="184"/>
      <x:c r="Z75" s="184"/>
      <x:c r="AA75" s="184"/>
      <x:c r="AB75" s="184"/>
      <x:c r="AC75" s="184"/>
      <x:c r="AD75" s="184"/>
      <x:c r="AE75" s="184"/>
      <x:c r="AF75" s="184"/>
      <x:c r="AG75" s="184"/>
      <x:c r="AH75" s="184"/>
      <x:c r="AI75" s="184"/>
      <x:c r="AJ75" s="184"/>
      <x:c r="AK75" s="184"/>
      <x:c r="AL75" s="184"/>
      <x:c r="AM75" s="184"/>
      <x:c r="AN75" s="184"/>
      <x:c r="AO75" s="184"/>
      <x:c r="AP75" s="184"/>
      <x:c r="AQ75" s="184"/>
      <x:c r="AR75" s="184"/>
      <x:c r="AS75" s="184"/>
      <x:c r="AT75" s="184"/>
      <x:c r="AU75" s="184"/>
      <x:c r="AV75" s="184"/>
      <x:c r="AW75" s="184"/>
      <x:c r="AX75" s="184"/>
      <x:c r="AY75" s="184"/>
      <x:c r="AZ75" s="184"/>
      <x:c r="BA75" s="184"/>
      <x:c r="BB75" s="184"/>
      <x:c r="BC75" s="184"/>
      <x:c r="BD75" s="184"/>
      <x:c r="BE75" s="184"/>
      <x:c r="BF75" s="184"/>
      <x:c r="BG75" s="184"/>
      <x:c r="BH75" s="184"/>
      <x:c r="BI75" s="184"/>
      <x:c r="BJ75" s="184"/>
      <x:c r="BK75" s="184"/>
      <x:c r="BL75" s="184"/>
      <x:c r="BM75" s="184"/>
      <x:c r="BN75" s="184"/>
      <x:c r="BO75" s="184"/>
      <x:c r="BP75" s="184"/>
      <x:c r="BQ75" s="184"/>
      <x:c r="BR75" s="184"/>
      <x:c r="BS75" s="184"/>
      <x:c r="BT75" s="184"/>
      <x:c r="BU75" s="184"/>
      <x:c r="BV75" s="184"/>
      <x:c r="BW75" s="184"/>
      <x:c r="BX75" s="184"/>
      <x:c r="BY75" s="185"/>
    </x:row>
    <x:row r="76" ht="16.5" customHeight="1">
      <x:c r="A76"/>
      <x:c r="B76" s="165"/>
      <x:c r="C76" s="167" t="str">
        <x:v>종목 및 금융 지표 표시</x:v>
      </x:c>
      <x:c r="D76" s="143" t="str">
        <x:v>관련 종목 후보와 대표 종목 정보 표시 기능 구현</x:v>
      </x:c>
      <x:c r="E76" s="144" t="str">
        <x:v>화면</x:v>
      </x:c>
      <x:c r="F76" s="144" t="str">
        <x:v>김웅건</x:v>
      </x:c>
      <x:c r="G76" s="145" t="d">
        <x:v>2026-10-13T00:00:00.000Z</x:v>
      </x:c>
      <x:c r="H76" s="145" t="d">
        <x:v>2026-10-13T00:00:00.000Z</x:v>
      </x:c>
      <x:c r="I76" s="146" t="n">
        <x:f>IF(OR(G76="",H76=""),"",IF(H76&lt;G76,"일정확인",H76-G76+1))</x:f>
        <x:v>1</x:v>
      </x:c>
      <x:c r="J76" s="147" t="n">
        <x:v>1</x:v>
      </x:c>
      <x:c r="K76" s="144" t="str">
        <x:f>IF(ISNUMBER(J76),IF(J76=1,"완료",IF(J76=0,"미착수","진행중")),"")</x:f>
        <x:v>완료</x:v>
      </x:c>
      <x:c r="L76" s="148" t="str">
        <x:v>종목화면</x:v>
      </x:c>
      <x:c r="M76" s="148" t="str">
        <x:v>화면 코드·모의검사 완료</x:v>
      </x:c>
      <x:c r="N76" s="180"/>
      <x:c r="O76" s="181"/>
      <x:c r="P76" s="181"/>
      <x:c r="Q76" s="181"/>
      <x:c r="R76" s="181"/>
      <x:c r="S76" s="181"/>
      <x:c r="T76" s="181"/>
      <x:c r="U76" s="188"/>
      <x:c r="V76" s="181"/>
      <x:c r="W76" s="181"/>
      <x:c r="X76" s="181"/>
      <x:c r="Y76" s="181"/>
      <x:c r="Z76" s="181"/>
      <x:c r="AA76" s="181"/>
      <x:c r="AB76" s="181"/>
      <x:c r="AC76" s="181"/>
      <x:c r="AD76" s="181"/>
      <x:c r="AE76" s="181"/>
      <x:c r="AF76" s="181"/>
      <x:c r="AG76" s="181"/>
      <x:c r="AH76" s="181"/>
      <x:c r="AI76" s="181"/>
      <x:c r="AJ76" s="181"/>
      <x:c r="AK76" s="181"/>
      <x:c r="AL76" s="181"/>
      <x:c r="AM76" s="181"/>
      <x:c r="AN76" s="181"/>
      <x:c r="AO76" s="181"/>
      <x:c r="AP76" s="181"/>
      <x:c r="AQ76" s="181"/>
      <x:c r="AR76" s="181"/>
      <x:c r="AS76" s="181"/>
      <x:c r="AT76" s="181"/>
      <x:c r="AU76" s="181"/>
      <x:c r="AV76" s="181"/>
      <x:c r="AW76" s="181"/>
      <x:c r="AX76" s="181"/>
      <x:c r="AY76" s="181"/>
      <x:c r="AZ76" s="181"/>
      <x:c r="BA76" s="181"/>
      <x:c r="BB76" s="181"/>
      <x:c r="BC76" s="181"/>
      <x:c r="BD76" s="181"/>
      <x:c r="BE76" s="181"/>
      <x:c r="BF76" s="181"/>
      <x:c r="BG76" s="181"/>
      <x:c r="BH76" s="181"/>
      <x:c r="BI76" s="181"/>
      <x:c r="BJ76" s="181"/>
      <x:c r="BK76" s="181"/>
      <x:c r="BL76" s="181"/>
      <x:c r="BM76" s="181"/>
      <x:c r="BN76" s="181"/>
      <x:c r="BO76" s="181"/>
      <x:c r="BP76" s="181"/>
      <x:c r="BQ76" s="181"/>
      <x:c r="BR76" s="181"/>
      <x:c r="BS76" s="181"/>
      <x:c r="BT76" s="181"/>
      <x:c r="BU76" s="181"/>
      <x:c r="BV76" s="181"/>
      <x:c r="BW76" s="181"/>
      <x:c r="BX76" s="181"/>
      <x:c r="BY76" s="182"/>
    </x:row>
    <x:row r="77" ht="16.5" customHeight="1">
      <x:c r="A77"/>
      <x:c r="B77" s="165"/>
      <x:c r="C77" s="167"/>
      <x:c r="D77" s="143" t="str">
        <x:v>상장 확인된 후보의 분석 종목 선택 기능 구현</x:v>
      </x:c>
      <x:c r="E77" s="144" t="str">
        <x:v>화면</x:v>
      </x:c>
      <x:c r="F77" s="144" t="str">
        <x:v>김웅건</x:v>
      </x:c>
      <x:c r="G77" s="145" t="d">
        <x:v>2026-11-17T00:00:00.000Z</x:v>
      </x:c>
      <x:c r="H77" s="145" t="d">
        <x:v>2026-11-17T00:00:00.000Z</x:v>
      </x:c>
      <x:c r="I77" s="146" t="n">
        <x:f>IF(OR(G77="",H77=""),"",IF(H77&lt;G77,"일정확인",H77-G77+1))</x:f>
        <x:v>1</x:v>
      </x:c>
      <x:c r="J77" s="147" t="n">
        <x:v>0</x:v>
      </x:c>
      <x:c r="K77" s="144" t="str">
        <x:f>IF(ISNUMBER(J77),IF(J77=1,"완료",IF(J77=0,"미착수","진행중")),"")</x:f>
        <x:v>미착수</x:v>
      </x:c>
      <x:c r="L77" s="148" t="str">
        <x:v>종목선택</x:v>
      </x:c>
      <x:c r="M77" s="148" t="str">
        <x:v>분석 기능 확장</x:v>
      </x:c>
      <x:c r="N77" s="180"/>
      <x:c r="O77" s="181"/>
      <x:c r="P77" s="181"/>
      <x:c r="Q77" s="181"/>
      <x:c r="R77" s="181"/>
      <x:c r="S77" s="181"/>
      <x:c r="T77" s="181"/>
      <x:c r="U77" s="180"/>
      <x:c r="V77" s="181"/>
      <x:c r="W77" s="181"/>
      <x:c r="X77" s="181"/>
      <x:c r="Y77" s="181"/>
      <x:c r="Z77" s="181"/>
      <x:c r="AA77" s="181"/>
      <x:c r="AB77" s="181"/>
      <x:c r="AC77" s="181"/>
      <x:c r="AD77" s="181"/>
      <x:c r="AE77" s="181"/>
      <x:c r="AF77" s="181"/>
      <x:c r="AG77" s="181"/>
      <x:c r="AH77" s="181"/>
      <x:c r="AI77" s="181"/>
      <x:c r="AJ77" s="181"/>
      <x:c r="AK77" s="181"/>
      <x:c r="AL77" s="181"/>
      <x:c r="AM77" s="181"/>
      <x:c r="AN77" s="181"/>
      <x:c r="AO77" s="181"/>
      <x:c r="AP77" s="181"/>
      <x:c r="AQ77" s="181"/>
      <x:c r="AR77" s="181"/>
      <x:c r="AS77" s="181"/>
      <x:c r="AT77" s="181"/>
      <x:c r="AU77" s="181"/>
      <x:c r="AV77" s="181"/>
      <x:c r="AW77" s="181"/>
      <x:c r="AX77" s="181"/>
      <x:c r="AY77" s="181"/>
      <x:c r="AZ77" s="181"/>
      <x:c r="BA77" s="181"/>
      <x:c r="BB77" s="181"/>
      <x:c r="BC77" s="181"/>
      <x:c r="BD77" s="181"/>
      <x:c r="BE77" s="181"/>
      <x:c r="BF77" s="181"/>
      <x:c r="BG77" s="181"/>
      <x:c r="BH77" s="181"/>
      <x:c r="BI77" s="181"/>
      <x:c r="BJ77" s="181"/>
      <x:c r="BK77" s="181"/>
      <x:c r="BL77" s="181"/>
      <x:c r="BM77" s="181"/>
      <x:c r="BN77" s="181"/>
      <x:c r="BO77" s="181"/>
      <x:c r="BP77" s="181"/>
      <x:c r="BQ77" s="181"/>
      <x:c r="BR77" s="181"/>
      <x:c r="BS77" s="181"/>
      <x:c r="BT77" s="181"/>
      <x:c r="BU77" s="181"/>
      <x:c r="BV77" s="181"/>
      <x:c r="BW77" s="181"/>
      <x:c r="BX77" s="181"/>
      <x:c r="BY77" s="182"/>
    </x:row>
    <x:row r="78" ht="16.5" customHeight="1">
      <x:c r="A78"/>
      <x:c r="B78" s="165"/>
      <x:c r="C78" s="169"/>
      <x:c r="D78" s="111" t="str">
        <x:v>주가·PER 지표 카드 표시 기능 구현</x:v>
      </x:c>
      <x:c r="E78" s="96" t="str">
        <x:v>화면</x:v>
      </x:c>
      <x:c r="F78" s="96" t="str">
        <x:v>김웅건</x:v>
      </x:c>
      <x:c r="G78" s="126" t="d">
        <x:v>2026-10-13T00:00:00.000Z</x:v>
      </x:c>
      <x:c r="H78" s="126" t="d">
        <x:v>2026-10-13T00:00:00.000Z</x:v>
      </x:c>
      <x:c r="I78" s="113" t="n">
        <x:f>IF(OR(G78="",H78=""),"",IF(H78&lt;G78,"일정확인",H78-G78+1))</x:f>
        <x:v>1</x:v>
      </x:c>
      <x:c r="J78" s="117" t="n">
        <x:v>1</x:v>
      </x:c>
      <x:c r="K78" s="96" t="str">
        <x:f>IF(ISNUMBER(J78),IF(J78=1,"완료",IF(J78=0,"미착수","진행중")),"")</x:f>
        <x:v>완료</x:v>
      </x:c>
      <x:c r="L78" s="119" t="str">
        <x:v>지표카드</x:v>
      </x:c>
      <x:c r="M78" s="119" t="str">
        <x:v>화면 코드·모의검사 완료</x:v>
      </x:c>
      <x:c r="N78" s="183"/>
      <x:c r="O78" s="184"/>
      <x:c r="P78" s="184"/>
      <x:c r="Q78" s="184"/>
      <x:c r="R78" s="184"/>
      <x:c r="S78" s="184"/>
      <x:c r="T78" s="184"/>
      <x:c r="U78" s="189"/>
      <x:c r="V78" s="184"/>
      <x:c r="W78" s="184"/>
      <x:c r="X78" s="184"/>
      <x:c r="Y78" s="184"/>
      <x:c r="Z78" s="184"/>
      <x:c r="AA78" s="184"/>
      <x:c r="AB78" s="184"/>
      <x:c r="AC78" s="184"/>
      <x:c r="AD78" s="184"/>
      <x:c r="AE78" s="184"/>
      <x:c r="AF78" s="184"/>
      <x:c r="AG78" s="184"/>
      <x:c r="AH78" s="184"/>
      <x:c r="AI78" s="184"/>
      <x:c r="AJ78" s="184"/>
      <x:c r="AK78" s="184"/>
      <x:c r="AL78" s="184"/>
      <x:c r="AM78" s="184"/>
      <x:c r="AN78" s="184"/>
      <x:c r="AO78" s="184"/>
      <x:c r="AP78" s="184"/>
      <x:c r="AQ78" s="184"/>
      <x:c r="AR78" s="184"/>
      <x:c r="AS78" s="184"/>
      <x:c r="AT78" s="184"/>
      <x:c r="AU78" s="184"/>
      <x:c r="AV78" s="184"/>
      <x:c r="AW78" s="184"/>
      <x:c r="AX78" s="184"/>
      <x:c r="AY78" s="184"/>
      <x:c r="AZ78" s="184"/>
      <x:c r="BA78" s="184"/>
      <x:c r="BB78" s="184"/>
      <x:c r="BC78" s="184"/>
      <x:c r="BD78" s="184"/>
      <x:c r="BE78" s="184"/>
      <x:c r="BF78" s="184"/>
      <x:c r="BG78" s="184"/>
      <x:c r="BH78" s="184"/>
      <x:c r="BI78" s="184"/>
      <x:c r="BJ78" s="184"/>
      <x:c r="BK78" s="184"/>
      <x:c r="BL78" s="184"/>
      <x:c r="BM78" s="184"/>
      <x:c r="BN78" s="184"/>
      <x:c r="BO78" s="184"/>
      <x:c r="BP78" s="184"/>
      <x:c r="BQ78" s="184"/>
      <x:c r="BR78" s="184"/>
      <x:c r="BS78" s="184"/>
      <x:c r="BT78" s="184"/>
      <x:c r="BU78" s="184"/>
      <x:c r="BV78" s="184"/>
      <x:c r="BW78" s="184"/>
      <x:c r="BX78" s="184"/>
      <x:c r="BY78" s="185"/>
    </x:row>
    <x:row r="79" ht="16.5" customHeight="1">
      <x:c r="A79"/>
      <x:c r="B79" s="165"/>
      <x:c r="C79" s="169"/>
      <x:c r="D79" s="111" t="str">
        <x:v>지표별 단위·누락 상태·출처·조회 시각 표시 기능 구현</x:v>
      </x:c>
      <x:c r="E79" s="96" t="str">
        <x:v>화면</x:v>
      </x:c>
      <x:c r="F79" s="96" t="str">
        <x:v>김웅건</x:v>
      </x:c>
      <x:c r="G79" s="126" t="d">
        <x:v>2026-10-13T00:00:00.000Z</x:v>
      </x:c>
      <x:c r="H79" s="126" t="d">
        <x:v>2026-10-13T00:00:00.000Z</x:v>
      </x:c>
      <x:c r="I79" s="113" t="n">
        <x:f>IF(OR(G79="",H79=""),"",IF(H79&lt;G79,"일정확인",H79-G79+1))</x:f>
        <x:v>1</x:v>
      </x:c>
      <x:c r="J79" s="117" t="n">
        <x:v>1</x:v>
      </x:c>
      <x:c r="K79" s="96" t="str">
        <x:f>IF(ISNUMBER(J79),IF(J79=1,"완료",IF(J79=0,"미착수","진행중")),"")</x:f>
        <x:v>완료</x:v>
      </x:c>
      <x:c r="L79" s="119" t="str">
        <x:v>출처표시</x:v>
      </x:c>
      <x:c r="M79" s="119" t="str">
        <x:v>화면 코드·모의검사 완료</x:v>
      </x:c>
      <x:c r="N79" s="183"/>
      <x:c r="O79" s="184"/>
      <x:c r="P79" s="184"/>
      <x:c r="Q79" s="184"/>
      <x:c r="R79" s="184"/>
      <x:c r="S79" s="184"/>
      <x:c r="T79" s="184"/>
      <x:c r="U79" s="189"/>
      <x:c r="V79" s="184"/>
      <x:c r="W79" s="184"/>
      <x:c r="X79" s="184"/>
      <x:c r="Y79" s="184"/>
      <x:c r="Z79" s="184"/>
      <x:c r="AA79" s="184"/>
      <x:c r="AB79" s="184"/>
      <x:c r="AC79" s="184"/>
      <x:c r="AD79" s="184"/>
      <x:c r="AE79" s="184"/>
      <x:c r="AF79" s="184"/>
      <x:c r="AG79" s="184"/>
      <x:c r="AH79" s="184"/>
      <x:c r="AI79" s="184"/>
      <x:c r="AJ79" s="184"/>
      <x:c r="AK79" s="184"/>
      <x:c r="AL79" s="184"/>
      <x:c r="AM79" s="184"/>
      <x:c r="AN79" s="184"/>
      <x:c r="AO79" s="184"/>
      <x:c r="AP79" s="184"/>
      <x:c r="AQ79" s="184"/>
      <x:c r="AR79" s="184"/>
      <x:c r="AS79" s="184"/>
      <x:c r="AT79" s="184"/>
      <x:c r="AU79" s="184"/>
      <x:c r="AV79" s="184"/>
      <x:c r="AW79" s="184"/>
      <x:c r="AX79" s="184"/>
      <x:c r="AY79" s="184"/>
      <x:c r="AZ79" s="184"/>
      <x:c r="BA79" s="184"/>
      <x:c r="BB79" s="184"/>
      <x:c r="BC79" s="184"/>
      <x:c r="BD79" s="184"/>
      <x:c r="BE79" s="184"/>
      <x:c r="BF79" s="184"/>
      <x:c r="BG79" s="184"/>
      <x:c r="BH79" s="184"/>
      <x:c r="BI79" s="184"/>
      <x:c r="BJ79" s="184"/>
      <x:c r="BK79" s="184"/>
      <x:c r="BL79" s="184"/>
      <x:c r="BM79" s="184"/>
      <x:c r="BN79" s="184"/>
      <x:c r="BO79" s="184"/>
      <x:c r="BP79" s="184"/>
      <x:c r="BQ79" s="184"/>
      <x:c r="BR79" s="184"/>
      <x:c r="BS79" s="184"/>
      <x:c r="BT79" s="184"/>
      <x:c r="BU79" s="184"/>
      <x:c r="BV79" s="184"/>
      <x:c r="BW79" s="184"/>
      <x:c r="BX79" s="184"/>
      <x:c r="BY79" s="185"/>
    </x:row>
    <x:row r="80" ht="16.5" customHeight="1">
      <x:c r="A80"/>
      <x:c r="B80" s="165"/>
      <x:c r="C80" s="170"/>
      <x:c r="D80" s="111" t="str">
        <x:v>PBR·EPS·BPS 추가 지표 카드 표시 기능 구현</x:v>
      </x:c>
      <x:c r="E80" s="96" t="str">
        <x:v>화면</x:v>
      </x:c>
      <x:c r="F80" s="96" t="str">
        <x:v>김웅건</x:v>
      </x:c>
      <x:c r="G80" s="126" t="d">
        <x:v>2026-11-21T00:00:00.000Z</x:v>
      </x:c>
      <x:c r="H80" s="126" t="d">
        <x:v>2026-11-22T00:00:00.000Z</x:v>
      </x:c>
      <x:c r="I80" s="113" t="n">
        <x:f>IF(OR(G80="",H80=""),"",IF(H80&lt;G80,"일정확인",H80-G80+1))</x:f>
        <x:v>2</x:v>
      </x:c>
      <x:c r="J80" s="117" t="n">
        <x:v>0</x:v>
      </x:c>
      <x:c r="K80" s="96" t="str">
        <x:f>IF(ISNUMBER(J80),IF(J80=1,"완료",IF(J80=0,"미착수","진행중")),"")</x:f>
        <x:v>미착수</x:v>
      </x:c>
      <x:c r="L80" s="119" t="str">
        <x:v>확장카드</x:v>
      </x:c>
      <x:c r="M80" s="119" t="str">
        <x:v>제공 허용 지표만 표시</x:v>
      </x:c>
      <x:c r="N80" s="183"/>
      <x:c r="O80" s="184"/>
      <x:c r="P80" s="184"/>
      <x:c r="Q80" s="184"/>
      <x:c r="R80" s="184"/>
      <x:c r="S80" s="184"/>
      <x:c r="T80" s="184"/>
      <x:c r="U80" s="183"/>
      <x:c r="V80" s="184"/>
      <x:c r="W80" s="184"/>
      <x:c r="X80" s="184"/>
      <x:c r="Y80" s="184"/>
      <x:c r="Z80" s="184"/>
      <x:c r="AA80" s="184"/>
      <x:c r="AB80" s="184"/>
      <x:c r="AC80" s="184"/>
      <x:c r="AD80" s="184"/>
      <x:c r="AE80" s="184"/>
      <x:c r="AF80" s="184"/>
      <x:c r="AG80" s="184"/>
      <x:c r="AH80" s="184"/>
      <x:c r="AI80" s="184"/>
      <x:c r="AJ80" s="184"/>
      <x:c r="AK80" s="184"/>
      <x:c r="AL80" s="184"/>
      <x:c r="AM80" s="184"/>
      <x:c r="AN80" s="184"/>
      <x:c r="AO80" s="184"/>
      <x:c r="AP80" s="184"/>
      <x:c r="AQ80" s="184"/>
      <x:c r="AR80" s="184"/>
      <x:c r="AS80" s="184"/>
      <x:c r="AT80" s="184"/>
      <x:c r="AU80" s="184"/>
      <x:c r="AV80" s="184"/>
      <x:c r="AW80" s="184"/>
      <x:c r="AX80" s="184"/>
      <x:c r="AY80" s="184"/>
      <x:c r="AZ80" s="184"/>
      <x:c r="BA80" s="184"/>
      <x:c r="BB80" s="184"/>
      <x:c r="BC80" s="184"/>
      <x:c r="BD80" s="184"/>
      <x:c r="BE80" s="184"/>
      <x:c r="BF80" s="184"/>
      <x:c r="BG80" s="184"/>
      <x:c r="BH80" s="184"/>
      <x:c r="BI80" s="184"/>
      <x:c r="BJ80" s="184"/>
      <x:c r="BK80" s="184"/>
      <x:c r="BL80" s="184"/>
      <x:c r="BM80" s="184"/>
      <x:c r="BN80" s="184"/>
      <x:c r="BO80" s="184"/>
      <x:c r="BP80" s="184"/>
      <x:c r="BQ80" s="184"/>
      <x:c r="BR80" s="184"/>
      <x:c r="BS80" s="184"/>
      <x:c r="BT80" s="184"/>
      <x:c r="BU80" s="184"/>
      <x:c r="BV80" s="184"/>
      <x:c r="BW80" s="184"/>
      <x:c r="BX80" s="184"/>
      <x:c r="BY80" s="185"/>
    </x:row>
    <x:row r="81" ht="16.5" customHeight="1">
      <x:c r="A81"/>
      <x:c r="B81" s="165"/>
      <x:c r="C81" s="167" t="str">
        <x:v>재무제표 및 차트 표시</x:v>
      </x:c>
      <x:c r="D81" s="143" t="str">
        <x:v>손익·재무상태·현금흐름 자료의 표 표시 기능 구현</x:v>
      </x:c>
      <x:c r="E81" s="144" t="str">
        <x:v>화면</x:v>
      </x:c>
      <x:c r="F81" s="144" t="str">
        <x:v>김웅건</x:v>
      </x:c>
      <x:c r="G81" s="145" t="d">
        <x:v>2026-11-23T00:00:00.000Z</x:v>
      </x:c>
      <x:c r="H81" s="145" t="d">
        <x:v>2026-11-23T00:00:00.000Z</x:v>
      </x:c>
      <x:c r="I81" s="146" t="n">
        <x:f>IF(OR(G81="",H81=""),"",IF(H81&lt;G81,"일정확인",H81-G81+1))</x:f>
        <x:v>1</x:v>
      </x:c>
      <x:c r="J81" s="147" t="n">
        <x:v>0</x:v>
      </x:c>
      <x:c r="K81" s="144" t="str">
        <x:f>IF(ISNUMBER(J81),IF(J81=1,"완료",IF(J81=0,"미착수","진행중")),"")</x:f>
        <x:v>미착수</x:v>
      </x:c>
      <x:c r="L81" s="148" t="str">
        <x:v>재무화면</x:v>
      </x:c>
      <x:c r="M81" s="148" t="str">
        <x:v>분석 기능 확장</x:v>
      </x:c>
      <x:c r="N81" s="180"/>
      <x:c r="O81" s="181"/>
      <x:c r="P81" s="181"/>
      <x:c r="Q81" s="181"/>
      <x:c r="R81" s="181"/>
      <x:c r="S81" s="181"/>
      <x:c r="T81" s="181"/>
      <x:c r="U81" s="180"/>
      <x:c r="V81" s="181"/>
      <x:c r="W81" s="181"/>
      <x:c r="X81" s="181"/>
      <x:c r="Y81" s="181"/>
      <x:c r="Z81" s="181"/>
      <x:c r="AA81" s="181"/>
      <x:c r="AB81" s="181"/>
      <x:c r="AC81" s="181"/>
      <x:c r="AD81" s="181"/>
      <x:c r="AE81" s="181"/>
      <x:c r="AF81" s="181"/>
      <x:c r="AG81" s="181"/>
      <x:c r="AH81" s="181"/>
      <x:c r="AI81" s="181"/>
      <x:c r="AJ81" s="181"/>
      <x:c r="AK81" s="181"/>
      <x:c r="AL81" s="181"/>
      <x:c r="AM81" s="181"/>
      <x:c r="AN81" s="181"/>
      <x:c r="AO81" s="181"/>
      <x:c r="AP81" s="181"/>
      <x:c r="AQ81" s="181"/>
      <x:c r="AR81" s="181"/>
      <x:c r="AS81" s="181"/>
      <x:c r="AT81" s="181"/>
      <x:c r="AU81" s="181"/>
      <x:c r="AV81" s="181"/>
      <x:c r="AW81" s="181"/>
      <x:c r="AX81" s="181"/>
      <x:c r="AY81" s="181"/>
      <x:c r="AZ81" s="181"/>
      <x:c r="BA81" s="181"/>
      <x:c r="BB81" s="181"/>
      <x:c r="BC81" s="181"/>
      <x:c r="BD81" s="181"/>
      <x:c r="BE81" s="181"/>
      <x:c r="BF81" s="181"/>
      <x:c r="BG81" s="181"/>
      <x:c r="BH81" s="181"/>
      <x:c r="BI81" s="181"/>
      <x:c r="BJ81" s="181"/>
      <x:c r="BK81" s="181"/>
      <x:c r="BL81" s="181"/>
      <x:c r="BM81" s="181"/>
      <x:c r="BN81" s="181"/>
      <x:c r="BO81" s="181"/>
      <x:c r="BP81" s="181"/>
      <x:c r="BQ81" s="181"/>
      <x:c r="BR81" s="181"/>
      <x:c r="BS81" s="181"/>
      <x:c r="BT81" s="181"/>
      <x:c r="BU81" s="181"/>
      <x:c r="BV81" s="181"/>
      <x:c r="BW81" s="181"/>
      <x:c r="BX81" s="181"/>
      <x:c r="BY81" s="182"/>
    </x:row>
    <x:row r="82" ht="16.5" customHeight="1">
      <x:c r="A82"/>
      <x:c r="B82" s="165"/>
      <x:c r="C82" s="169"/>
      <x:c r="D82" s="111" t="str">
        <x:v>이용 허용 범위 내 주가·거래량 차트 표시 기능 구현</x:v>
      </x:c>
      <x:c r="E82" s="96" t="str">
        <x:v>화면</x:v>
      </x:c>
      <x:c r="F82" s="96" t="str">
        <x:v>김웅건</x:v>
      </x:c>
      <x:c r="G82" s="126" t="d">
        <x:v>2026-11-24T00:00:00.000Z</x:v>
      </x:c>
      <x:c r="H82" s="126" t="d">
        <x:v>2026-11-24T00:00:00.000Z</x:v>
      </x:c>
      <x:c r="I82" s="113" t="n">
        <x:f>IF(OR(G82="",H82=""),"",IF(H82&lt;G82,"일정확인",H82-G82+1))</x:f>
        <x:v>1</x:v>
      </x:c>
      <x:c r="J82" s="117" t="n">
        <x:v>0</x:v>
      </x:c>
      <x:c r="K82" s="96" t="str">
        <x:f>IF(ISNUMBER(J82),IF(J82=1,"완료",IF(J82=0,"미착수","진행중")),"")</x:f>
        <x:v>미착수</x:v>
      </x:c>
      <x:c r="L82" s="119" t="str">
        <x:v>주가차트</x:v>
      </x:c>
      <x:c r="M82" s="119" t="str">
        <x:v>시세 이용 조건 확인 후</x:v>
      </x:c>
      <x:c r="N82" s="183"/>
      <x:c r="O82" s="184"/>
      <x:c r="P82" s="184"/>
      <x:c r="Q82" s="184"/>
      <x:c r="R82" s="184"/>
      <x:c r="S82" s="184"/>
      <x:c r="T82" s="184"/>
      <x:c r="U82" s="183"/>
      <x:c r="V82" s="184"/>
      <x:c r="W82" s="184"/>
      <x:c r="X82" s="184"/>
      <x:c r="Y82" s="184"/>
      <x:c r="Z82" s="184"/>
      <x:c r="AA82" s="184"/>
      <x:c r="AB82" s="184"/>
      <x:c r="AC82" s="184"/>
      <x:c r="AD82" s="184"/>
      <x:c r="AE82" s="184"/>
      <x:c r="AF82" s="184"/>
      <x:c r="AG82" s="184"/>
      <x:c r="AH82" s="184"/>
      <x:c r="AI82" s="184"/>
      <x:c r="AJ82" s="184"/>
      <x:c r="AK82" s="184"/>
      <x:c r="AL82" s="184"/>
      <x:c r="AM82" s="184"/>
      <x:c r="AN82" s="184"/>
      <x:c r="AO82" s="184"/>
      <x:c r="AP82" s="184"/>
      <x:c r="AQ82" s="184"/>
      <x:c r="AR82" s="184"/>
      <x:c r="AS82" s="184"/>
      <x:c r="AT82" s="184"/>
      <x:c r="AU82" s="184"/>
      <x:c r="AV82" s="184"/>
      <x:c r="AW82" s="184"/>
      <x:c r="AX82" s="184"/>
      <x:c r="AY82" s="184"/>
      <x:c r="AZ82" s="184"/>
      <x:c r="BA82" s="184"/>
      <x:c r="BB82" s="184"/>
      <x:c r="BC82" s="184"/>
      <x:c r="BD82" s="184"/>
      <x:c r="BE82" s="184"/>
      <x:c r="BF82" s="184"/>
      <x:c r="BG82" s="184"/>
      <x:c r="BH82" s="184"/>
      <x:c r="BI82" s="184"/>
      <x:c r="BJ82" s="184"/>
      <x:c r="BK82" s="184"/>
      <x:c r="BL82" s="184"/>
      <x:c r="BM82" s="184"/>
      <x:c r="BN82" s="184"/>
      <x:c r="BO82" s="184"/>
      <x:c r="BP82" s="184"/>
      <x:c r="BQ82" s="184"/>
      <x:c r="BR82" s="184"/>
      <x:c r="BS82" s="184"/>
      <x:c r="BT82" s="184"/>
      <x:c r="BU82" s="184"/>
      <x:c r="BV82" s="184"/>
      <x:c r="BW82" s="184"/>
      <x:c r="BX82" s="184"/>
      <x:c r="BY82" s="185"/>
    </x:row>
    <x:row r="83" ht="16.5" customHeight="1">
      <x:c r="A83"/>
      <x:c r="B83" s="165"/>
      <x:c r="C83" s="170"/>
      <x:c r="D83" s="111" t="str">
        <x:v>연도별 매출액·영업이익·순이익 차트 표시 기능 구현</x:v>
      </x:c>
      <x:c r="E83" s="96" t="str">
        <x:v>화면</x:v>
      </x:c>
      <x:c r="F83" s="96" t="str">
        <x:v>김웅건</x:v>
      </x:c>
      <x:c r="G83" s="126" t="d">
        <x:v>2026-11-25T00:00:00.000Z</x:v>
      </x:c>
      <x:c r="H83" s="126" t="d">
        <x:v>2026-11-25T00:00:00.000Z</x:v>
      </x:c>
      <x:c r="I83" s="113" t="n">
        <x:f>IF(OR(G83="",H83=""),"",IF(H83&lt;G83,"일정확인",H83-G83+1))</x:f>
        <x:v>1</x:v>
      </x:c>
      <x:c r="J83" s="117" t="n">
        <x:v>0</x:v>
      </x:c>
      <x:c r="K83" s="96" t="str">
        <x:f>IF(ISNUMBER(J83),IF(J83=1,"완료",IF(J83=0,"미착수","진행중")),"")</x:f>
        <x:v>미착수</x:v>
      </x:c>
      <x:c r="L83" s="119" t="str">
        <x:v>재무차트</x:v>
      </x:c>
      <x:c r="M83" s="119" t="str">
        <x:v>공시 재무자료 기준</x:v>
      </x:c>
      <x:c r="N83" s="183"/>
      <x:c r="O83" s="184"/>
      <x:c r="P83" s="184"/>
      <x:c r="Q83" s="184"/>
      <x:c r="R83" s="184"/>
      <x:c r="S83" s="184"/>
      <x:c r="T83" s="184"/>
      <x:c r="U83" s="183"/>
      <x:c r="V83" s="184"/>
      <x:c r="W83" s="184"/>
      <x:c r="X83" s="184"/>
      <x:c r="Y83" s="184"/>
      <x:c r="Z83" s="184"/>
      <x:c r="AA83" s="184"/>
      <x:c r="AB83" s="184"/>
      <x:c r="AC83" s="184"/>
      <x:c r="AD83" s="184"/>
      <x:c r="AE83" s="184"/>
      <x:c r="AF83" s="184"/>
      <x:c r="AG83" s="184"/>
      <x:c r="AH83" s="184"/>
      <x:c r="AI83" s="184"/>
      <x:c r="AJ83" s="184"/>
      <x:c r="AK83" s="184"/>
      <x:c r="AL83" s="184"/>
      <x:c r="AM83" s="184"/>
      <x:c r="AN83" s="184"/>
      <x:c r="AO83" s="184"/>
      <x:c r="AP83" s="184"/>
      <x:c r="AQ83" s="184"/>
      <x:c r="AR83" s="184"/>
      <x:c r="AS83" s="184"/>
      <x:c r="AT83" s="184"/>
      <x:c r="AU83" s="184"/>
      <x:c r="AV83" s="184"/>
      <x:c r="AW83" s="184"/>
      <x:c r="AX83" s="184"/>
      <x:c r="AY83" s="184"/>
      <x:c r="AZ83" s="184"/>
      <x:c r="BA83" s="184"/>
      <x:c r="BB83" s="184"/>
      <x:c r="BC83" s="184"/>
      <x:c r="BD83" s="184"/>
      <x:c r="BE83" s="184"/>
      <x:c r="BF83" s="184"/>
      <x:c r="BG83" s="184"/>
      <x:c r="BH83" s="184"/>
      <x:c r="BI83" s="184"/>
      <x:c r="BJ83" s="184"/>
      <x:c r="BK83" s="184"/>
      <x:c r="BL83" s="184"/>
      <x:c r="BM83" s="184"/>
      <x:c r="BN83" s="184"/>
      <x:c r="BO83" s="184"/>
      <x:c r="BP83" s="184"/>
      <x:c r="BQ83" s="184"/>
      <x:c r="BR83" s="184"/>
      <x:c r="BS83" s="184"/>
      <x:c r="BT83" s="184"/>
      <x:c r="BU83" s="184"/>
      <x:c r="BV83" s="184"/>
      <x:c r="BW83" s="184"/>
      <x:c r="BX83" s="184"/>
      <x:c r="BY83" s="185"/>
    </x:row>
    <x:row r="84" ht="16.5" customHeight="1">
      <x:c r="A84"/>
      <x:c r="B84" s="165"/>
      <x:c r="C84" s="170"/>
      <x:c r="D84" s="111" t="str">
        <x:v>연도별 자산·부채·자본 비교 차트 표시 기능 구현</x:v>
      </x:c>
      <x:c r="E84" s="96" t="str">
        <x:v>화면</x:v>
      </x:c>
      <x:c r="F84" s="96" t="str">
        <x:v>김웅건</x:v>
      </x:c>
      <x:c r="G84" s="126" t="d">
        <x:v>2026-11-26T00:00:00.000Z</x:v>
      </x:c>
      <x:c r="H84" s="126" t="d">
        <x:v>2026-11-26T00:00:00.000Z</x:v>
      </x:c>
      <x:c r="I84" s="113" t="n">
        <x:f>IF(OR(G84="",H84=""),"",IF(H84&lt;G84,"일정확인",H84-G84+1))</x:f>
        <x:v>1</x:v>
      </x:c>
      <x:c r="J84" s="117" t="n">
        <x:v>0</x:v>
      </x:c>
      <x:c r="K84" s="96" t="str">
        <x:f>IF(ISNUMBER(J84),IF(J84=1,"완료",IF(J84=0,"미착수","진행중")),"")</x:f>
        <x:v>미착수</x:v>
      </x:c>
      <x:c r="L84" s="119" t="str">
        <x:v>구조차트</x:v>
      </x:c>
      <x:c r="M84" s="119" t="str">
        <x:v>분석 기능 확장</x:v>
      </x:c>
      <x:c r="N84" s="183"/>
      <x:c r="O84" s="184"/>
      <x:c r="P84" s="184"/>
      <x:c r="Q84" s="184"/>
      <x:c r="R84" s="184"/>
      <x:c r="S84" s="184"/>
      <x:c r="T84" s="184"/>
      <x:c r="U84" s="183"/>
      <x:c r="V84" s="184"/>
      <x:c r="W84" s="184"/>
      <x:c r="X84" s="184"/>
      <x:c r="Y84" s="184"/>
      <x:c r="Z84" s="184"/>
      <x:c r="AA84" s="184"/>
      <x:c r="AB84" s="184"/>
      <x:c r="AC84" s="184"/>
      <x:c r="AD84" s="184"/>
      <x:c r="AE84" s="184"/>
      <x:c r="AF84" s="184"/>
      <x:c r="AG84" s="184"/>
      <x:c r="AH84" s="184"/>
      <x:c r="AI84" s="184"/>
      <x:c r="AJ84" s="184"/>
      <x:c r="AK84" s="184"/>
      <x:c r="AL84" s="184"/>
      <x:c r="AM84" s="184"/>
      <x:c r="AN84" s="184"/>
      <x:c r="AO84" s="184"/>
      <x:c r="AP84" s="184"/>
      <x:c r="AQ84" s="184"/>
      <x:c r="AR84" s="184"/>
      <x:c r="AS84" s="184"/>
      <x:c r="AT84" s="184"/>
      <x:c r="AU84" s="184"/>
      <x:c r="AV84" s="184"/>
      <x:c r="AW84" s="184"/>
      <x:c r="AX84" s="184"/>
      <x:c r="AY84" s="184"/>
      <x:c r="AZ84" s="184"/>
      <x:c r="BA84" s="184"/>
      <x:c r="BB84" s="184"/>
      <x:c r="BC84" s="184"/>
      <x:c r="BD84" s="184"/>
      <x:c r="BE84" s="184"/>
      <x:c r="BF84" s="184"/>
      <x:c r="BG84" s="184"/>
      <x:c r="BH84" s="184"/>
      <x:c r="BI84" s="184"/>
      <x:c r="BJ84" s="184"/>
      <x:c r="BK84" s="184"/>
      <x:c r="BL84" s="184"/>
      <x:c r="BM84" s="184"/>
      <x:c r="BN84" s="184"/>
      <x:c r="BO84" s="184"/>
      <x:c r="BP84" s="184"/>
      <x:c r="BQ84" s="184"/>
      <x:c r="BR84" s="184"/>
      <x:c r="BS84" s="184"/>
      <x:c r="BT84" s="184"/>
      <x:c r="BU84" s="184"/>
      <x:c r="BV84" s="184"/>
      <x:c r="BW84" s="184"/>
      <x:c r="BX84" s="184"/>
      <x:c r="BY84" s="185"/>
    </x:row>
    <x:row r="85" ht="16.5" customHeight="1">
      <x:c r="A85"/>
      <x:c r="B85" s="165"/>
      <x:c r="C85" s="170"/>
      <x:c r="D85" s="111" t="str">
        <x:v>ROE·이익률·부채비율 표시 기능 구현</x:v>
      </x:c>
      <x:c r="E85" s="96" t="str">
        <x:v>화면</x:v>
      </x:c>
      <x:c r="F85" s="96" t="str">
        <x:v>김웅건</x:v>
      </x:c>
      <x:c r="G85" s="126" t="d">
        <x:v>2026-11-27T00:00:00.000Z</x:v>
      </x:c>
      <x:c r="H85" s="126" t="d">
        <x:v>2026-11-27T00:00:00.000Z</x:v>
      </x:c>
      <x:c r="I85" s="113" t="n">
        <x:f>IF(OR(G85="",H85=""),"",IF(H85&lt;G85,"일정확인",H85-G85+1))</x:f>
        <x:v>1</x:v>
      </x:c>
      <x:c r="J85" s="117" t="n">
        <x:v>0</x:v>
      </x:c>
      <x:c r="K85" s="96" t="str">
        <x:f>IF(ISNUMBER(J85),IF(J85=1,"완료",IF(J85=0,"미착수","진행중")),"")</x:f>
        <x:v>미착수</x:v>
      </x:c>
      <x:c r="L85" s="119" t="str">
        <x:v>재무지표</x:v>
      </x:c>
      <x:c r="M85" s="119" t="str">
        <x:v>분석 기능 확장</x:v>
      </x:c>
      <x:c r="N85" s="183"/>
      <x:c r="O85" s="184"/>
      <x:c r="P85" s="184"/>
      <x:c r="Q85" s="184"/>
      <x:c r="R85" s="184"/>
      <x:c r="S85" s="184"/>
      <x:c r="T85" s="184"/>
      <x:c r="U85" s="183"/>
      <x:c r="V85" s="184"/>
      <x:c r="W85" s="184"/>
      <x:c r="X85" s="184"/>
      <x:c r="Y85" s="184"/>
      <x:c r="Z85" s="184"/>
      <x:c r="AA85" s="184"/>
      <x:c r="AB85" s="184"/>
      <x:c r="AC85" s="184"/>
      <x:c r="AD85" s="184"/>
      <x:c r="AE85" s="184"/>
      <x:c r="AF85" s="184"/>
      <x:c r="AG85" s="184"/>
      <x:c r="AH85" s="184"/>
      <x:c r="AI85" s="184"/>
      <x:c r="AJ85" s="184"/>
      <x:c r="AK85" s="184"/>
      <x:c r="AL85" s="184"/>
      <x:c r="AM85" s="184"/>
      <x:c r="AN85" s="184"/>
      <x:c r="AO85" s="184"/>
      <x:c r="AP85" s="184"/>
      <x:c r="AQ85" s="184"/>
      <x:c r="AR85" s="184"/>
      <x:c r="AS85" s="184"/>
      <x:c r="AT85" s="184"/>
      <x:c r="AU85" s="184"/>
      <x:c r="AV85" s="184"/>
      <x:c r="AW85" s="184"/>
      <x:c r="AX85" s="184"/>
      <x:c r="AY85" s="184"/>
      <x:c r="AZ85" s="184"/>
      <x:c r="BA85" s="184"/>
      <x:c r="BB85" s="184"/>
      <x:c r="BC85" s="184"/>
      <x:c r="BD85" s="184"/>
      <x:c r="BE85" s="184"/>
      <x:c r="BF85" s="184"/>
      <x:c r="BG85" s="184"/>
      <x:c r="BH85" s="184"/>
      <x:c r="BI85" s="184"/>
      <x:c r="BJ85" s="184"/>
      <x:c r="BK85" s="184"/>
      <x:c r="BL85" s="184"/>
      <x:c r="BM85" s="184"/>
      <x:c r="BN85" s="184"/>
      <x:c r="BO85" s="184"/>
      <x:c r="BP85" s="184"/>
      <x:c r="BQ85" s="184"/>
      <x:c r="BR85" s="184"/>
      <x:c r="BS85" s="184"/>
      <x:c r="BT85" s="184"/>
      <x:c r="BU85" s="184"/>
      <x:c r="BV85" s="184"/>
      <x:c r="BW85" s="184"/>
      <x:c r="BX85" s="184"/>
      <x:c r="BY85" s="185"/>
    </x:row>
    <x:row r="86" ht="16.5" customHeight="1">
      <x:c r="A86"/>
      <x:c r="B86" s="165"/>
      <x:c r="C86" s="170"/>
      <x:c r="D86" s="111" t="str">
        <x:v>차트의 기간·단위·출처 표시 기능 구현</x:v>
      </x:c>
      <x:c r="E86" s="96" t="str">
        <x:v>화면</x:v>
      </x:c>
      <x:c r="F86" s="96" t="str">
        <x:v>김웅건</x:v>
      </x:c>
      <x:c r="G86" s="126" t="d">
        <x:v>2026-11-27T00:00:00.000Z</x:v>
      </x:c>
      <x:c r="H86" s="126" t="d">
        <x:v>2026-11-27T00:00:00.000Z</x:v>
      </x:c>
      <x:c r="I86" s="113" t="n">
        <x:f>IF(OR(G86="",H86=""),"",IF(H86&lt;G86,"일정확인",H86-G86+1))</x:f>
        <x:v>1</x:v>
      </x:c>
      <x:c r="J86" s="117" t="n">
        <x:v>0</x:v>
      </x:c>
      <x:c r="K86" s="96" t="str">
        <x:f>IF(ISNUMBER(J86),IF(J86=1,"완료",IF(J86=0,"미착수","진행중")),"")</x:f>
        <x:v>미착수</x:v>
      </x:c>
      <x:c r="L86" s="119" t="str">
        <x:v>차트안내</x:v>
      </x:c>
      <x:c r="M86" s="119" t="str">
        <x:v>분석 기능 확장</x:v>
      </x:c>
      <x:c r="N86" s="183"/>
      <x:c r="O86" s="184"/>
      <x:c r="P86" s="184"/>
      <x:c r="Q86" s="184"/>
      <x:c r="R86" s="184"/>
      <x:c r="S86" s="184"/>
      <x:c r="T86" s="184"/>
      <x:c r="U86" s="183"/>
      <x:c r="V86" s="184"/>
      <x:c r="W86" s="184"/>
      <x:c r="X86" s="184"/>
      <x:c r="Y86" s="184"/>
      <x:c r="Z86" s="184"/>
      <x:c r="AA86" s="184"/>
      <x:c r="AB86" s="184"/>
      <x:c r="AC86" s="184"/>
      <x:c r="AD86" s="184"/>
      <x:c r="AE86" s="184"/>
      <x:c r="AF86" s="184"/>
      <x:c r="AG86" s="184"/>
      <x:c r="AH86" s="184"/>
      <x:c r="AI86" s="184"/>
      <x:c r="AJ86" s="184"/>
      <x:c r="AK86" s="184"/>
      <x:c r="AL86" s="184"/>
      <x:c r="AM86" s="184"/>
      <x:c r="AN86" s="184"/>
      <x:c r="AO86" s="184"/>
      <x:c r="AP86" s="184"/>
      <x:c r="AQ86" s="184"/>
      <x:c r="AR86" s="184"/>
      <x:c r="AS86" s="184"/>
      <x:c r="AT86" s="184"/>
      <x:c r="AU86" s="184"/>
      <x:c r="AV86" s="184"/>
      <x:c r="AW86" s="184"/>
      <x:c r="AX86" s="184"/>
      <x:c r="AY86" s="184"/>
      <x:c r="AZ86" s="184"/>
      <x:c r="BA86" s="184"/>
      <x:c r="BB86" s="184"/>
      <x:c r="BC86" s="184"/>
      <x:c r="BD86" s="184"/>
      <x:c r="BE86" s="184"/>
      <x:c r="BF86" s="184"/>
      <x:c r="BG86" s="184"/>
      <x:c r="BH86" s="184"/>
      <x:c r="BI86" s="184"/>
      <x:c r="BJ86" s="184"/>
      <x:c r="BK86" s="184"/>
      <x:c r="BL86" s="184"/>
      <x:c r="BM86" s="184"/>
      <x:c r="BN86" s="184"/>
      <x:c r="BO86" s="184"/>
      <x:c r="BP86" s="184"/>
      <x:c r="BQ86" s="184"/>
      <x:c r="BR86" s="184"/>
      <x:c r="BS86" s="184"/>
      <x:c r="BT86" s="184"/>
      <x:c r="BU86" s="184"/>
      <x:c r="BV86" s="184"/>
      <x:c r="BW86" s="184"/>
      <x:c r="BX86" s="184"/>
      <x:c r="BY86" s="185"/>
    </x:row>
    <x:row r="87" ht="16.5" customHeight="1">
      <x:c r="A87"/>
      <x:c r="B87" s="165"/>
      <x:c r="C87" s="167" t="str">
        <x:v>뉴스 및 AI 리포트 표시</x:v>
      </x:c>
      <x:c r="D87" s="143" t="str">
        <x:v>뉴스 제목·발행 시각·원문 이동 기능 구현</x:v>
      </x:c>
      <x:c r="E87" s="144" t="str">
        <x:v>화면</x:v>
      </x:c>
      <x:c r="F87" s="144" t="str">
        <x:v>김웅건</x:v>
      </x:c>
      <x:c r="G87" s="145" t="d">
        <x:v>2026-10-13T00:00:00.000Z</x:v>
      </x:c>
      <x:c r="H87" s="145" t="d">
        <x:v>2026-10-13T00:00:00.000Z</x:v>
      </x:c>
      <x:c r="I87" s="146" t="n">
        <x:f>IF(OR(G87="",H87=""),"",IF(H87&lt;G87,"일정확인",H87-G87+1))</x:f>
        <x:v>1</x:v>
      </x:c>
      <x:c r="J87" s="147" t="n">
        <x:v>1</x:v>
      </x:c>
      <x:c r="K87" s="144" t="str">
        <x:f>IF(ISNUMBER(J87),IF(J87=1,"완료",IF(J87=0,"미착수","진행중")),"")</x:f>
        <x:v>완료</x:v>
      </x:c>
      <x:c r="L87" s="148" t="str">
        <x:v>뉴스화면</x:v>
      </x:c>
      <x:c r="M87" s="148" t="str">
        <x:v>화면 코드·모의검사 완료</x:v>
      </x:c>
      <x:c r="N87" s="180"/>
      <x:c r="O87" s="181"/>
      <x:c r="P87" s="181"/>
      <x:c r="Q87" s="181"/>
      <x:c r="R87" s="181"/>
      <x:c r="S87" s="181"/>
      <x:c r="T87" s="181"/>
      <x:c r="U87" s="188"/>
      <x:c r="V87" s="181"/>
      <x:c r="W87" s="181"/>
      <x:c r="X87" s="181"/>
      <x:c r="Y87" s="181"/>
      <x:c r="Z87" s="181"/>
      <x:c r="AA87" s="181"/>
      <x:c r="AB87" s="181"/>
      <x:c r="AC87" s="181"/>
      <x:c r="AD87" s="181"/>
      <x:c r="AE87" s="181"/>
      <x:c r="AF87" s="181"/>
      <x:c r="AG87" s="181"/>
      <x:c r="AH87" s="181"/>
      <x:c r="AI87" s="181"/>
      <x:c r="AJ87" s="181"/>
      <x:c r="AK87" s="181"/>
      <x:c r="AL87" s="181"/>
      <x:c r="AM87" s="181"/>
      <x:c r="AN87" s="181"/>
      <x:c r="AO87" s="181"/>
      <x:c r="AP87" s="181"/>
      <x:c r="AQ87" s="181"/>
      <x:c r="AR87" s="181"/>
      <x:c r="AS87" s="181"/>
      <x:c r="AT87" s="181"/>
      <x:c r="AU87" s="181"/>
      <x:c r="AV87" s="181"/>
      <x:c r="AW87" s="181"/>
      <x:c r="AX87" s="181"/>
      <x:c r="AY87" s="181"/>
      <x:c r="AZ87" s="181"/>
      <x:c r="BA87" s="181"/>
      <x:c r="BB87" s="181"/>
      <x:c r="BC87" s="181"/>
      <x:c r="BD87" s="181"/>
      <x:c r="BE87" s="181"/>
      <x:c r="BF87" s="181"/>
      <x:c r="BG87" s="181"/>
      <x:c r="BH87" s="181"/>
      <x:c r="BI87" s="181"/>
      <x:c r="BJ87" s="181"/>
      <x:c r="BK87" s="181"/>
      <x:c r="BL87" s="181"/>
      <x:c r="BM87" s="181"/>
      <x:c r="BN87" s="181"/>
      <x:c r="BO87" s="181"/>
      <x:c r="BP87" s="181"/>
      <x:c r="BQ87" s="181"/>
      <x:c r="BR87" s="181"/>
      <x:c r="BS87" s="181"/>
      <x:c r="BT87" s="181"/>
      <x:c r="BU87" s="181"/>
      <x:c r="BV87" s="181"/>
      <x:c r="BW87" s="181"/>
      <x:c r="BX87" s="181"/>
      <x:c r="BY87" s="182"/>
    </x:row>
    <x:row r="88" ht="16.5" customHeight="1">
      <x:c r="A88"/>
      <x:c r="B88" s="165"/>
      <x:c r="C88" s="169"/>
      <x:c r="D88" s="111" t="str">
        <x:v>AI 리포트 항목별 결과 표시 기능 구현</x:v>
      </x:c>
      <x:c r="E88" s="96" t="str">
        <x:v>화면</x:v>
      </x:c>
      <x:c r="F88" s="96" t="str">
        <x:v>김웅건</x:v>
      </x:c>
      <x:c r="G88" s="126" t="d">
        <x:v>2026-10-13T00:00:00.000Z</x:v>
      </x:c>
      <x:c r="H88" s="126" t="d">
        <x:v>2026-10-13T00:00:00.000Z</x:v>
      </x:c>
      <x:c r="I88" s="113" t="n">
        <x:f>IF(OR(G88="",H88=""),"",IF(H88&lt;G88,"일정확인",H88-G88+1))</x:f>
        <x:v>1</x:v>
      </x:c>
      <x:c r="J88" s="117" t="n">
        <x:v>1</x:v>
      </x:c>
      <x:c r="K88" s="96" t="str">
        <x:f>IF(ISNUMBER(J88),IF(J88=1,"완료",IF(J88=0,"미착수","진행중")),"")</x:f>
        <x:v>완료</x:v>
      </x:c>
      <x:c r="L88" s="119" t="str">
        <x:v>결과화면</x:v>
      </x:c>
      <x:c r="M88" s="119" t="str">
        <x:v>화면 코드·모의검사 완료</x:v>
      </x:c>
      <x:c r="N88" s="183"/>
      <x:c r="O88" s="184"/>
      <x:c r="P88" s="184"/>
      <x:c r="Q88" s="184"/>
      <x:c r="R88" s="184"/>
      <x:c r="S88" s="184"/>
      <x:c r="T88" s="184"/>
      <x:c r="U88" s="189"/>
      <x:c r="V88" s="184"/>
      <x:c r="W88" s="184"/>
      <x:c r="X88" s="184"/>
      <x:c r="Y88" s="184"/>
      <x:c r="Z88" s="184"/>
      <x:c r="AA88" s="184"/>
      <x:c r="AB88" s="184"/>
      <x:c r="AC88" s="184"/>
      <x:c r="AD88" s="184"/>
      <x:c r="AE88" s="184"/>
      <x:c r="AF88" s="184"/>
      <x:c r="AG88" s="184"/>
      <x:c r="AH88" s="184"/>
      <x:c r="AI88" s="184"/>
      <x:c r="AJ88" s="184"/>
      <x:c r="AK88" s="184"/>
      <x:c r="AL88" s="184"/>
      <x:c r="AM88" s="184"/>
      <x:c r="AN88" s="184"/>
      <x:c r="AO88" s="184"/>
      <x:c r="AP88" s="184"/>
      <x:c r="AQ88" s="184"/>
      <x:c r="AR88" s="184"/>
      <x:c r="AS88" s="184"/>
      <x:c r="AT88" s="184"/>
      <x:c r="AU88" s="184"/>
      <x:c r="AV88" s="184"/>
      <x:c r="AW88" s="184"/>
      <x:c r="AX88" s="184"/>
      <x:c r="AY88" s="184"/>
      <x:c r="AZ88" s="184"/>
      <x:c r="BA88" s="184"/>
      <x:c r="BB88" s="184"/>
      <x:c r="BC88" s="184"/>
      <x:c r="BD88" s="184"/>
      <x:c r="BE88" s="184"/>
      <x:c r="BF88" s="184"/>
      <x:c r="BG88" s="184"/>
      <x:c r="BH88" s="184"/>
      <x:c r="BI88" s="184"/>
      <x:c r="BJ88" s="184"/>
      <x:c r="BK88" s="184"/>
      <x:c r="BL88" s="184"/>
      <x:c r="BM88" s="184"/>
      <x:c r="BN88" s="184"/>
      <x:c r="BO88" s="184"/>
      <x:c r="BP88" s="184"/>
      <x:c r="BQ88" s="184"/>
      <x:c r="BR88" s="184"/>
      <x:c r="BS88" s="184"/>
      <x:c r="BT88" s="184"/>
      <x:c r="BU88" s="184"/>
      <x:c r="BV88" s="184"/>
      <x:c r="BW88" s="184"/>
      <x:c r="BX88" s="184"/>
      <x:c r="BY88" s="185"/>
    </x:row>
    <x:row r="89" ht="16.5" customHeight="1">
      <x:c r="A89"/>
      <x:c r="B89" s="165"/>
      <x:c r="C89" s="169"/>
      <x:c r="D89" s="111" t="str">
        <x:v>AI 설명과 뉴스 근거 번호 연결 표시 기능 구현</x:v>
      </x:c>
      <x:c r="E89" s="96" t="str">
        <x:v>화면</x:v>
      </x:c>
      <x:c r="F89" s="96" t="str">
        <x:v>김웅건</x:v>
      </x:c>
      <x:c r="G89" s="126" t="d">
        <x:v>2026-10-13T00:00:00.000Z</x:v>
      </x:c>
      <x:c r="H89" s="126" t="d">
        <x:v>2026-10-13T00:00:00.000Z</x:v>
      </x:c>
      <x:c r="I89" s="113" t="n">
        <x:f>IF(OR(G89="",H89=""),"",IF(H89&lt;G89,"일정확인",H89-G89+1))</x:f>
        <x:v>1</x:v>
      </x:c>
      <x:c r="J89" s="117" t="n">
        <x:v>1</x:v>
      </x:c>
      <x:c r="K89" s="96" t="str">
        <x:f>IF(ISNUMBER(J89),IF(J89=1,"완료",IF(J89=0,"미착수","진행중")),"")</x:f>
        <x:v>완료</x:v>
      </x:c>
      <x:c r="L89" s="119" t="str">
        <x:v>근거표시</x:v>
      </x:c>
      <x:c r="M89" s="119" t="str">
        <x:v>화면 코드·모의검사 완료</x:v>
      </x:c>
      <x:c r="N89" s="183"/>
      <x:c r="O89" s="184"/>
      <x:c r="P89" s="184"/>
      <x:c r="Q89" s="184"/>
      <x:c r="R89" s="184"/>
      <x:c r="S89" s="184"/>
      <x:c r="T89" s="184"/>
      <x:c r="U89" s="189"/>
      <x:c r="V89" s="184"/>
      <x:c r="W89" s="184"/>
      <x:c r="X89" s="184"/>
      <x:c r="Y89" s="184"/>
      <x:c r="Z89" s="184"/>
      <x:c r="AA89" s="184"/>
      <x:c r="AB89" s="184"/>
      <x:c r="AC89" s="184"/>
      <x:c r="AD89" s="184"/>
      <x:c r="AE89" s="184"/>
      <x:c r="AF89" s="184"/>
      <x:c r="AG89" s="184"/>
      <x:c r="AH89" s="184"/>
      <x:c r="AI89" s="184"/>
      <x:c r="AJ89" s="184"/>
      <x:c r="AK89" s="184"/>
      <x:c r="AL89" s="184"/>
      <x:c r="AM89" s="184"/>
      <x:c r="AN89" s="184"/>
      <x:c r="AO89" s="184"/>
      <x:c r="AP89" s="184"/>
      <x:c r="AQ89" s="184"/>
      <x:c r="AR89" s="184"/>
      <x:c r="AS89" s="184"/>
      <x:c r="AT89" s="184"/>
      <x:c r="AU89" s="184"/>
      <x:c r="AV89" s="184"/>
      <x:c r="AW89" s="184"/>
      <x:c r="AX89" s="184"/>
      <x:c r="AY89" s="184"/>
      <x:c r="AZ89" s="184"/>
      <x:c r="BA89" s="184"/>
      <x:c r="BB89" s="184"/>
      <x:c r="BC89" s="184"/>
      <x:c r="BD89" s="184"/>
      <x:c r="BE89" s="184"/>
      <x:c r="BF89" s="184"/>
      <x:c r="BG89" s="184"/>
      <x:c r="BH89" s="184"/>
      <x:c r="BI89" s="184"/>
      <x:c r="BJ89" s="184"/>
      <x:c r="BK89" s="184"/>
      <x:c r="BL89" s="184"/>
      <x:c r="BM89" s="184"/>
      <x:c r="BN89" s="184"/>
      <x:c r="BO89" s="184"/>
      <x:c r="BP89" s="184"/>
      <x:c r="BQ89" s="184"/>
      <x:c r="BR89" s="184"/>
      <x:c r="BS89" s="184"/>
      <x:c r="BT89" s="184"/>
      <x:c r="BU89" s="184"/>
      <x:c r="BV89" s="184"/>
      <x:c r="BW89" s="184"/>
      <x:c r="BX89" s="184"/>
      <x:c r="BY89" s="185"/>
    </x:row>
    <x:row r="90" ht="16.5" customHeight="1">
      <x:c r="A90"/>
      <x:c r="B90" s="166"/>
      <x:c r="C90" s="170"/>
      <x:c r="D90" s="111" t="str">
        <x:v>부분 결과·AI 응답 실패 안내 표시 기능 구현</x:v>
      </x:c>
      <x:c r="E90" s="96" t="str">
        <x:v>화면</x:v>
      </x:c>
      <x:c r="F90" s="96" t="str">
        <x:v>김웅건</x:v>
      </x:c>
      <x:c r="G90" s="126" t="d">
        <x:v>2026-10-13T00:00:00.000Z</x:v>
      </x:c>
      <x:c r="H90" s="126" t="d">
        <x:v>2026-10-13T00:00:00.000Z</x:v>
      </x:c>
      <x:c r="I90" s="113" t="n">
        <x:f>IF(OR(G90="",H90=""),"",IF(H90&lt;G90,"일정확인",H90-G90+1))</x:f>
        <x:v>1</x:v>
      </x:c>
      <x:c r="J90" s="117" t="n">
        <x:v>1</x:v>
      </x:c>
      <x:c r="K90" s="96" t="str">
        <x:f>IF(ISNUMBER(J90),IF(J90=1,"완료",IF(J90=0,"미착수","진행중")),"")</x:f>
        <x:v>완료</x:v>
      </x:c>
      <x:c r="L90" s="119" t="str">
        <x:v>결과상태</x:v>
      </x:c>
      <x:c r="M90" s="119" t="str">
        <x:v>화면 코드·모의검사 완료</x:v>
      </x:c>
      <x:c r="N90" s="183"/>
      <x:c r="O90" s="184"/>
      <x:c r="P90" s="184"/>
      <x:c r="Q90" s="184"/>
      <x:c r="R90" s="184"/>
      <x:c r="S90" s="184"/>
      <x:c r="T90" s="184"/>
      <x:c r="U90" s="189"/>
      <x:c r="V90" s="184"/>
      <x:c r="W90" s="184"/>
      <x:c r="X90" s="184"/>
      <x:c r="Y90" s="184"/>
      <x:c r="Z90" s="184"/>
      <x:c r="AA90" s="184"/>
      <x:c r="AB90" s="184"/>
      <x:c r="AC90" s="184"/>
      <x:c r="AD90" s="184"/>
      <x:c r="AE90" s="184"/>
      <x:c r="AF90" s="184"/>
      <x:c r="AG90" s="184"/>
      <x:c r="AH90" s="184"/>
      <x:c r="AI90" s="184"/>
      <x:c r="AJ90" s="184"/>
      <x:c r="AK90" s="184"/>
      <x:c r="AL90" s="184"/>
      <x:c r="AM90" s="184"/>
      <x:c r="AN90" s="184"/>
      <x:c r="AO90" s="184"/>
      <x:c r="AP90" s="184"/>
      <x:c r="AQ90" s="184"/>
      <x:c r="AR90" s="184"/>
      <x:c r="AS90" s="184"/>
      <x:c r="AT90" s="184"/>
      <x:c r="AU90" s="184"/>
      <x:c r="AV90" s="184"/>
      <x:c r="AW90" s="184"/>
      <x:c r="AX90" s="184"/>
      <x:c r="AY90" s="184"/>
      <x:c r="AZ90" s="184"/>
      <x:c r="BA90" s="184"/>
      <x:c r="BB90" s="184"/>
      <x:c r="BC90" s="184"/>
      <x:c r="BD90" s="184"/>
      <x:c r="BE90" s="184"/>
      <x:c r="BF90" s="184"/>
      <x:c r="BG90" s="184"/>
      <x:c r="BH90" s="184"/>
      <x:c r="BI90" s="184"/>
      <x:c r="BJ90" s="184"/>
      <x:c r="BK90" s="184"/>
      <x:c r="BL90" s="184"/>
      <x:c r="BM90" s="184"/>
      <x:c r="BN90" s="184"/>
      <x:c r="BO90" s="184"/>
      <x:c r="BP90" s="184"/>
      <x:c r="BQ90" s="184"/>
      <x:c r="BR90" s="184"/>
      <x:c r="BS90" s="184"/>
      <x:c r="BT90" s="184"/>
      <x:c r="BU90" s="184"/>
      <x:c r="BV90" s="184"/>
      <x:c r="BW90" s="184"/>
      <x:c r="BX90" s="184"/>
      <x:c r="BY90" s="185"/>
    </x:row>
    <x:row r="91" ht="16.5" customHeight="1">
      <x:c r="A91"/>
      <x:c r="B91" s="166"/>
      <x:c r="C91" s="168" t="str">
        <x:v>엑셀 다운로드 화면</x:v>
      </x:c>
      <x:c r="D91" s="111" t="str">
        <x:v>선택 종목 엑셀 다운로드 버튼 구현</x:v>
      </x:c>
      <x:c r="E91" s="96" t="str">
        <x:v>화면</x:v>
      </x:c>
      <x:c r="F91" s="96" t="str">
        <x:v>김웅건</x:v>
      </x:c>
      <x:c r="G91" s="126" t="d">
        <x:v>2026-11-28T00:00:00.000Z</x:v>
      </x:c>
      <x:c r="H91" s="126" t="d">
        <x:v>2026-11-28T00:00:00.000Z</x:v>
      </x:c>
      <x:c r="I91" s="113" t="n">
        <x:f>IF(OR(G91="",H91=""),"",IF(H91&lt;G91,"일정확인",H91-G91+1))</x:f>
        <x:v>1</x:v>
      </x:c>
      <x:c r="J91" s="117" t="n">
        <x:v>0</x:v>
      </x:c>
      <x:c r="K91" s="96" t="str">
        <x:f>IF(ISNUMBER(J91),IF(J91=1,"완료",IF(J91=0,"미착수","진행중")),"")</x:f>
        <x:v>미착수</x:v>
      </x:c>
      <x:c r="L91" s="119" t="str">
        <x:v>저장버튼</x:v>
      </x:c>
      <x:c r="M91" s="119" t="str">
        <x:v>분석 기능 확장</x:v>
      </x:c>
      <x:c r="N91" s="183"/>
      <x:c r="O91" s="184"/>
      <x:c r="P91" s="184"/>
      <x:c r="Q91" s="184"/>
      <x:c r="R91" s="184"/>
      <x:c r="S91" s="184"/>
      <x:c r="T91" s="184"/>
      <x:c r="U91" s="183"/>
      <x:c r="V91" s="184"/>
      <x:c r="W91" s="184"/>
      <x:c r="X91" s="184"/>
      <x:c r="Y91" s="184"/>
      <x:c r="Z91" s="184"/>
      <x:c r="AA91" s="184"/>
      <x:c r="AB91" s="184"/>
      <x:c r="AC91" s="184"/>
      <x:c r="AD91" s="184"/>
      <x:c r="AE91" s="184"/>
      <x:c r="AF91" s="184"/>
      <x:c r="AG91" s="184"/>
      <x:c r="AH91" s="184"/>
      <x:c r="AI91" s="184"/>
      <x:c r="AJ91" s="184"/>
      <x:c r="AK91" s="184"/>
      <x:c r="AL91" s="184"/>
      <x:c r="AM91" s="184"/>
      <x:c r="AN91" s="184"/>
      <x:c r="AO91" s="184"/>
      <x:c r="AP91" s="184"/>
      <x:c r="AQ91" s="184"/>
      <x:c r="AR91" s="184"/>
      <x:c r="AS91" s="184"/>
      <x:c r="AT91" s="184"/>
      <x:c r="AU91" s="184"/>
      <x:c r="AV91" s="184"/>
      <x:c r="AW91" s="184"/>
      <x:c r="AX91" s="184"/>
      <x:c r="AY91" s="184"/>
      <x:c r="AZ91" s="184"/>
      <x:c r="BA91" s="184"/>
      <x:c r="BB91" s="184"/>
      <x:c r="BC91" s="184"/>
      <x:c r="BD91" s="184"/>
      <x:c r="BE91" s="184"/>
      <x:c r="BF91" s="184"/>
      <x:c r="BG91" s="184"/>
      <x:c r="BH91" s="184"/>
      <x:c r="BI91" s="184"/>
      <x:c r="BJ91" s="184"/>
      <x:c r="BK91" s="184"/>
      <x:c r="BL91" s="184"/>
      <x:c r="BM91" s="184"/>
      <x:c r="BN91" s="184"/>
      <x:c r="BO91" s="184"/>
      <x:c r="BP91" s="184"/>
      <x:c r="BQ91" s="184"/>
      <x:c r="BR91" s="184"/>
      <x:c r="BS91" s="184"/>
      <x:c r="BT91" s="184"/>
      <x:c r="BU91" s="184"/>
      <x:c r="BV91" s="184"/>
      <x:c r="BW91" s="184"/>
      <x:c r="BX91" s="184"/>
      <x:c r="BY91" s="185"/>
    </x:row>
    <x:row r="92" ht="16.5" customHeight="1">
      <x:c r="A92"/>
      <x:c r="B92" s="166"/>
      <x:c r="C92" s="170"/>
      <x:c r="D92" s="111" t="str">
        <x:v>다운로드 파일명·종목·조회 기간 안내 표시 기능 구현</x:v>
      </x:c>
      <x:c r="E92" s="96" t="str">
        <x:v>화면</x:v>
      </x:c>
      <x:c r="F92" s="96" t="str">
        <x:v>김웅건</x:v>
      </x:c>
      <x:c r="G92" s="126" t="d">
        <x:v>2026-11-28T00:00:00.000Z</x:v>
      </x:c>
      <x:c r="H92" s="126" t="d">
        <x:v>2026-11-28T00:00:00.000Z</x:v>
      </x:c>
      <x:c r="I92" s="113" t="n">
        <x:f>IF(OR(G92="",H92=""),"",IF(H92&lt;G92,"일정확인",H92-G92+1))</x:f>
        <x:v>1</x:v>
      </x:c>
      <x:c r="J92" s="117" t="n">
        <x:v>0</x:v>
      </x:c>
      <x:c r="K92" s="96" t="str">
        <x:f>IF(ISNUMBER(J92),IF(J92=1,"완료",IF(J92=0,"미착수","진행중")),"")</x:f>
        <x:v>미착수</x:v>
      </x:c>
      <x:c r="L92" s="119" t="str">
        <x:v>파일안내</x:v>
      </x:c>
      <x:c r="M92" s="119" t="str">
        <x:v>분석 기능 확장</x:v>
      </x:c>
      <x:c r="N92" s="183"/>
      <x:c r="O92" s="184"/>
      <x:c r="P92" s="184"/>
      <x:c r="Q92" s="184"/>
      <x:c r="R92" s="184"/>
      <x:c r="S92" s="184"/>
      <x:c r="T92" s="184"/>
      <x:c r="U92" s="183"/>
      <x:c r="V92" s="184"/>
      <x:c r="W92" s="184"/>
      <x:c r="X92" s="184"/>
      <x:c r="Y92" s="184"/>
      <x:c r="Z92" s="184"/>
      <x:c r="AA92" s="184"/>
      <x:c r="AB92" s="184"/>
      <x:c r="AC92" s="184"/>
      <x:c r="AD92" s="184"/>
      <x:c r="AE92" s="184"/>
      <x:c r="AF92" s="184"/>
      <x:c r="AG92" s="184"/>
      <x:c r="AH92" s="184"/>
      <x:c r="AI92" s="184"/>
      <x:c r="AJ92" s="184"/>
      <x:c r="AK92" s="184"/>
      <x:c r="AL92" s="184"/>
      <x:c r="AM92" s="184"/>
      <x:c r="AN92" s="184"/>
      <x:c r="AO92" s="184"/>
      <x:c r="AP92" s="184"/>
      <x:c r="AQ92" s="184"/>
      <x:c r="AR92" s="184"/>
      <x:c r="AS92" s="184"/>
      <x:c r="AT92" s="184"/>
      <x:c r="AU92" s="184"/>
      <x:c r="AV92" s="184"/>
      <x:c r="AW92" s="184"/>
      <x:c r="AX92" s="184"/>
      <x:c r="AY92" s="184"/>
      <x:c r="AZ92" s="184"/>
      <x:c r="BA92" s="184"/>
      <x:c r="BB92" s="184"/>
      <x:c r="BC92" s="184"/>
      <x:c r="BD92" s="184"/>
      <x:c r="BE92" s="184"/>
      <x:c r="BF92" s="184"/>
      <x:c r="BG92" s="184"/>
      <x:c r="BH92" s="184"/>
      <x:c r="BI92" s="184"/>
      <x:c r="BJ92" s="184"/>
      <x:c r="BK92" s="184"/>
      <x:c r="BL92" s="184"/>
      <x:c r="BM92" s="184"/>
      <x:c r="BN92" s="184"/>
      <x:c r="BO92" s="184"/>
      <x:c r="BP92" s="184"/>
      <x:c r="BQ92" s="184"/>
      <x:c r="BR92" s="184"/>
      <x:c r="BS92" s="184"/>
      <x:c r="BT92" s="184"/>
      <x:c r="BU92" s="184"/>
      <x:c r="BV92" s="184"/>
      <x:c r="BW92" s="184"/>
      <x:c r="BX92" s="184"/>
      <x:c r="BY92" s="185"/>
    </x:row>
    <x:row r="93" ht="16.5" customHeight="1">
      <x:c r="A93"/>
      <x:c r="B93" s="166"/>
      <x:c r="C93" s="170"/>
      <x:c r="D93" s="111" t="str">
        <x:v>종목 재선택·재조회 시 다운로드 자료 갱신 기능 구현</x:v>
      </x:c>
      <x:c r="E93" s="96" t="str">
        <x:v>화면</x:v>
      </x:c>
      <x:c r="F93" s="96" t="str">
        <x:v>김웅건</x:v>
      </x:c>
      <x:c r="G93" s="126" t="d">
        <x:v>2026-11-29T00:00:00.000Z</x:v>
      </x:c>
      <x:c r="H93" s="126" t="d">
        <x:v>2026-11-29T00:00:00.000Z</x:v>
      </x:c>
      <x:c r="I93" s="113" t="n">
        <x:f>IF(OR(G93="",H93=""),"",IF(H93&lt;G93,"일정확인",H93-G93+1))</x:f>
        <x:v>1</x:v>
      </x:c>
      <x:c r="J93" s="117" t="n">
        <x:v>0</x:v>
      </x:c>
      <x:c r="K93" s="96" t="str">
        <x:f>IF(ISNUMBER(J93),IF(J93=1,"완료",IF(J93=0,"미착수","진행중")),"")</x:f>
        <x:v>미착수</x:v>
      </x:c>
      <x:c r="L93" s="119" t="str">
        <x:v>파일갱신</x:v>
      </x:c>
      <x:c r="M93" s="119" t="str">
        <x:v>분석 기능 확장</x:v>
      </x:c>
      <x:c r="N93" s="183"/>
      <x:c r="O93" s="184"/>
      <x:c r="P93" s="184"/>
      <x:c r="Q93" s="184"/>
      <x:c r="R93" s="184"/>
      <x:c r="S93" s="184"/>
      <x:c r="T93" s="184"/>
      <x:c r="U93" s="183"/>
      <x:c r="V93" s="184"/>
      <x:c r="W93" s="184"/>
      <x:c r="X93" s="184"/>
      <x:c r="Y93" s="184"/>
      <x:c r="Z93" s="184"/>
      <x:c r="AA93" s="184"/>
      <x:c r="AB93" s="184"/>
      <x:c r="AC93" s="184"/>
      <x:c r="AD93" s="184"/>
      <x:c r="AE93" s="184"/>
      <x:c r="AF93" s="184"/>
      <x:c r="AG93" s="184"/>
      <x:c r="AH93" s="184"/>
      <x:c r="AI93" s="184"/>
      <x:c r="AJ93" s="184"/>
      <x:c r="AK93" s="184"/>
      <x:c r="AL93" s="184"/>
      <x:c r="AM93" s="184"/>
      <x:c r="AN93" s="184"/>
      <x:c r="AO93" s="184"/>
      <x:c r="AP93" s="184"/>
      <x:c r="AQ93" s="184"/>
      <x:c r="AR93" s="184"/>
      <x:c r="AS93" s="184"/>
      <x:c r="AT93" s="184"/>
      <x:c r="AU93" s="184"/>
      <x:c r="AV93" s="184"/>
      <x:c r="AW93" s="184"/>
      <x:c r="AX93" s="184"/>
      <x:c r="AY93" s="184"/>
      <x:c r="AZ93" s="184"/>
      <x:c r="BA93" s="184"/>
      <x:c r="BB93" s="184"/>
      <x:c r="BC93" s="184"/>
      <x:c r="BD93" s="184"/>
      <x:c r="BE93" s="184"/>
      <x:c r="BF93" s="184"/>
      <x:c r="BG93" s="184"/>
      <x:c r="BH93" s="184"/>
      <x:c r="BI93" s="184"/>
      <x:c r="BJ93" s="184"/>
      <x:c r="BK93" s="184"/>
      <x:c r="BL93" s="184"/>
      <x:c r="BM93" s="184"/>
      <x:c r="BN93" s="184"/>
      <x:c r="BO93" s="184"/>
      <x:c r="BP93" s="184"/>
      <x:c r="BQ93" s="184"/>
      <x:c r="BR93" s="184"/>
      <x:c r="BS93" s="184"/>
      <x:c r="BT93" s="184"/>
      <x:c r="BU93" s="184"/>
      <x:c r="BV93" s="184"/>
      <x:c r="BW93" s="184"/>
      <x:c r="BX93" s="184"/>
      <x:c r="BY93" s="185"/>
    </x:row>
    <x:row r="94" ht="16.5" customHeight="1">
      <x:c r="A94"/>
      <x:c r="B94" s="164" t="str">
        <x:v>시스템 통합</x:v>
      </x:c>
      <x:c r="C94" s="167" t="str">
        <x:v>데이터 처리 파이프라인 연결</x:v>
      </x:c>
      <x:c r="D94" s="143" t="str">
        <x:v>선택 종목 식별과 금융 데이터 수집 순서 연결</x:v>
      </x:c>
      <x:c r="E94" s="144" t="str">
        <x:v>통합</x:v>
      </x:c>
      <x:c r="F94" s="144" t="str">
        <x:v>조윤기</x:v>
      </x:c>
      <x:c r="G94" s="145" t="d">
        <x:v>2026-11-02T00:00:00.000Z</x:v>
      </x:c>
      <x:c r="H94" s="145" t="d">
        <x:v>2026-11-02T00:00:00.000Z</x:v>
      </x:c>
      <x:c r="I94" s="146" t="n">
        <x:f>IF(OR(G94="",H94=""),"",IF(H94&lt;G94,"일정확인",H94-G94+1))</x:f>
        <x:v>1</x:v>
      </x:c>
      <x:c r="J94" s="147"/>
      <x:c r="K94" s="144" t="str">
        <x:v>진행중</x:v>
      </x:c>
      <x:c r="L94" s="148" t="str">
        <x:v>수집연동</x:v>
      </x:c>
      <x:c r="M94" s="148" t="str">
        <x:v>첫 후보만·사용자 선택 전</x:v>
      </x:c>
      <x:c r="N94" s="180"/>
      <x:c r="O94" s="181"/>
      <x:c r="P94" s="181"/>
      <x:c r="Q94" s="181"/>
      <x:c r="R94" s="181"/>
      <x:c r="S94" s="181"/>
      <x:c r="T94" s="181"/>
      <x:c r="U94" s="180"/>
      <x:c r="V94" s="181"/>
      <x:c r="W94" s="181"/>
      <x:c r="X94" s="181"/>
      <x:c r="Y94" s="181"/>
      <x:c r="Z94" s="181"/>
      <x:c r="AA94" s="181"/>
      <x:c r="AB94" s="181"/>
      <x:c r="AC94" s="181"/>
      <x:c r="AD94" s="181"/>
      <x:c r="AE94" s="181"/>
      <x:c r="AF94" s="181"/>
      <x:c r="AG94" s="181"/>
      <x:c r="AH94" s="181"/>
      <x:c r="AI94" s="181"/>
      <x:c r="AJ94" s="181"/>
      <x:c r="AK94" s="181"/>
      <x:c r="AL94" s="181"/>
      <x:c r="AM94" s="181"/>
      <x:c r="AN94" s="181"/>
      <x:c r="AO94" s="181"/>
      <x:c r="AP94" s="181"/>
      <x:c r="AQ94" s="181"/>
      <x:c r="AR94" s="181"/>
      <x:c r="AS94" s="181"/>
      <x:c r="AT94" s="181"/>
      <x:c r="AU94" s="181"/>
      <x:c r="AV94" s="181"/>
      <x:c r="AW94" s="181"/>
      <x:c r="AX94" s="181"/>
      <x:c r="AY94" s="181"/>
      <x:c r="AZ94" s="181"/>
      <x:c r="BA94" s="181"/>
      <x:c r="BB94" s="181"/>
      <x:c r="BC94" s="181"/>
      <x:c r="BD94" s="181"/>
      <x:c r="BE94" s="181"/>
      <x:c r="BF94" s="181"/>
      <x:c r="BG94" s="181"/>
      <x:c r="BH94" s="181"/>
      <x:c r="BI94" s="181"/>
      <x:c r="BJ94" s="181"/>
      <x:c r="BK94" s="181"/>
      <x:c r="BL94" s="181"/>
      <x:c r="BM94" s="181"/>
      <x:c r="BN94" s="181"/>
      <x:c r="BO94" s="181"/>
      <x:c r="BP94" s="181"/>
      <x:c r="BQ94" s="181"/>
      <x:c r="BR94" s="181"/>
      <x:c r="BS94" s="181"/>
      <x:c r="BT94" s="181"/>
      <x:c r="BU94" s="181"/>
      <x:c r="BV94" s="181"/>
      <x:c r="BW94" s="181"/>
      <x:c r="BX94" s="181"/>
      <x:c r="BY94" s="182"/>
    </x:row>
    <x:row r="95" ht="16.5" customHeight="1">
      <x:c r="A95"/>
      <x:c r="B95" s="165"/>
      <x:c r="C95" s="169"/>
      <x:c r="D95" s="111" t="str">
        <x:v>필수 자료 조회 실패 시 처리 중단 기능 구현</x:v>
      </x:c>
      <x:c r="E95" s="96" t="str">
        <x:v>통합</x:v>
      </x:c>
      <x:c r="F95" s="96" t="str">
        <x:v>조윤기</x:v>
      </x:c>
      <x:c r="G95" s="126" t="d">
        <x:v>2026-10-13T00:00:00.000Z</x:v>
      </x:c>
      <x:c r="H95" s="126" t="d">
        <x:v>2026-10-13T00:00:00.000Z</x:v>
      </x:c>
      <x:c r="I95" s="113" t="n">
        <x:f>IF(OR(G95="",H95=""),"",IF(H95&lt;G95,"일정확인",H95-G95+1))</x:f>
        <x:v>1</x:v>
      </x:c>
      <x:c r="J95" s="117" t="n">
        <x:v>1</x:v>
      </x:c>
      <x:c r="K95" s="96" t="str">
        <x:f>IF(ISNUMBER(J95),IF(J95=1,"완료",IF(J95=0,"미착수","진행중")),"")</x:f>
        <x:v>완료</x:v>
      </x:c>
      <x:c r="L95" s="119" t="str">
        <x:v>중단처리</x:v>
      </x:c>
      <x:c r="M95" s="119" t="str">
        <x:v>코드·모의연동 검사 완료</x:v>
      </x:c>
      <x:c r="N95" s="183"/>
      <x:c r="O95" s="184"/>
      <x:c r="P95" s="184"/>
      <x:c r="Q95" s="184"/>
      <x:c r="R95" s="184"/>
      <x:c r="S95" s="184"/>
      <x:c r="T95" s="184"/>
      <x:c r="U95" s="193"/>
      <x:c r="V95" s="184"/>
      <x:c r="W95" s="184"/>
      <x:c r="X95" s="184"/>
      <x:c r="Y95" s="184"/>
      <x:c r="Z95" s="184"/>
      <x:c r="AA95" s="184"/>
      <x:c r="AB95" s="184"/>
      <x:c r="AC95" s="184"/>
      <x:c r="AD95" s="184"/>
      <x:c r="AE95" s="184"/>
      <x:c r="AF95" s="184"/>
      <x:c r="AG95" s="184"/>
      <x:c r="AH95" s="184"/>
      <x:c r="AI95" s="184"/>
      <x:c r="AJ95" s="184"/>
      <x:c r="AK95" s="184"/>
      <x:c r="AL95" s="184"/>
      <x:c r="AM95" s="184"/>
      <x:c r="AN95" s="184"/>
      <x:c r="AO95" s="184"/>
      <x:c r="AP95" s="184"/>
      <x:c r="AQ95" s="184"/>
      <x:c r="AR95" s="184"/>
      <x:c r="AS95" s="184"/>
      <x:c r="AT95" s="184"/>
      <x:c r="AU95" s="184"/>
      <x:c r="AV95" s="184"/>
      <x:c r="AW95" s="184"/>
      <x:c r="AX95" s="184"/>
      <x:c r="AY95" s="184"/>
      <x:c r="AZ95" s="184"/>
      <x:c r="BA95" s="184"/>
      <x:c r="BB95" s="184"/>
      <x:c r="BC95" s="184"/>
      <x:c r="BD95" s="184"/>
      <x:c r="BE95" s="184"/>
      <x:c r="BF95" s="184"/>
      <x:c r="BG95" s="184"/>
      <x:c r="BH95" s="184"/>
      <x:c r="BI95" s="184"/>
      <x:c r="BJ95" s="184"/>
      <x:c r="BK95" s="184"/>
      <x:c r="BL95" s="184"/>
      <x:c r="BM95" s="184"/>
      <x:c r="BN95" s="184"/>
      <x:c r="BO95" s="184"/>
      <x:c r="BP95" s="184"/>
      <x:c r="BQ95" s="184"/>
      <x:c r="BR95" s="184"/>
      <x:c r="BS95" s="184"/>
      <x:c r="BT95" s="184"/>
      <x:c r="BU95" s="184"/>
      <x:c r="BV95" s="184"/>
      <x:c r="BW95" s="184"/>
      <x:c r="BX95" s="184"/>
      <x:c r="BY95" s="185"/>
    </x:row>
    <x:row r="96" ht="16.5" customHeight="1">
      <x:c r="A96"/>
      <x:c r="B96" s="165"/>
      <x:c r="C96" s="170"/>
      <x:c r="D96" s="111" t="str">
        <x:v>재무제표·재무지표·뉴스 수집 결과 통합 반환 기능 구현</x:v>
      </x:c>
      <x:c r="E96" s="96" t="str">
        <x:v>통합</x:v>
      </x:c>
      <x:c r="F96" s="96" t="str">
        <x:v>조윤기</x:v>
      </x:c>
      <x:c r="G96" s="126" t="d">
        <x:v>2026-11-22T00:00:00.000Z</x:v>
      </x:c>
      <x:c r="H96" s="126" t="d">
        <x:v>2026-11-22T00:00:00.000Z</x:v>
      </x:c>
      <x:c r="I96" s="113" t="n">
        <x:f>IF(OR(G96="",H96=""),"",IF(H96&lt;G96,"일정확인",H96-G96+1))</x:f>
        <x:v>1</x:v>
      </x:c>
      <x:c r="J96" s="117" t="n">
        <x:v>0</x:v>
      </x:c>
      <x:c r="K96" s="96" t="str">
        <x:f>IF(ISNUMBER(J96),IF(J96=1,"완료",IF(J96=0,"미착수","진행중")),"")</x:f>
        <x:v>미착수</x:v>
      </x:c>
      <x:c r="L96" s="119" t="str">
        <x:v>통합자료</x:v>
      </x:c>
      <x:c r="M96" s="119" t="str">
        <x:v>분석 기능 확장</x:v>
      </x:c>
      <x:c r="N96" s="183"/>
      <x:c r="O96" s="184"/>
      <x:c r="P96" s="184"/>
      <x:c r="Q96" s="184"/>
      <x:c r="R96" s="184"/>
      <x:c r="S96" s="184"/>
      <x:c r="T96" s="184"/>
      <x:c r="U96" s="183"/>
      <x:c r="V96" s="184"/>
      <x:c r="W96" s="184"/>
      <x:c r="X96" s="184"/>
      <x:c r="Y96" s="184"/>
      <x:c r="Z96" s="184"/>
      <x:c r="AA96" s="184"/>
      <x:c r="AB96" s="184"/>
      <x:c r="AC96" s="184"/>
      <x:c r="AD96" s="184"/>
      <x:c r="AE96" s="184"/>
      <x:c r="AF96" s="184"/>
      <x:c r="AG96" s="184"/>
      <x:c r="AH96" s="184"/>
      <x:c r="AI96" s="184"/>
      <x:c r="AJ96" s="184"/>
      <x:c r="AK96" s="184"/>
      <x:c r="AL96" s="184"/>
      <x:c r="AM96" s="184"/>
      <x:c r="AN96" s="184"/>
      <x:c r="AO96" s="184"/>
      <x:c r="AP96" s="184"/>
      <x:c r="AQ96" s="184"/>
      <x:c r="AR96" s="184"/>
      <x:c r="AS96" s="184"/>
      <x:c r="AT96" s="184"/>
      <x:c r="AU96" s="184"/>
      <x:c r="AV96" s="184"/>
      <x:c r="AW96" s="184"/>
      <x:c r="AX96" s="184"/>
      <x:c r="AY96" s="184"/>
      <x:c r="AZ96" s="184"/>
      <x:c r="BA96" s="184"/>
      <x:c r="BB96" s="184"/>
      <x:c r="BC96" s="184"/>
      <x:c r="BD96" s="184"/>
      <x:c r="BE96" s="184"/>
      <x:c r="BF96" s="184"/>
      <x:c r="BG96" s="184"/>
      <x:c r="BH96" s="184"/>
      <x:c r="BI96" s="184"/>
      <x:c r="BJ96" s="184"/>
      <x:c r="BK96" s="184"/>
      <x:c r="BL96" s="184"/>
      <x:c r="BM96" s="184"/>
      <x:c r="BN96" s="184"/>
      <x:c r="BO96" s="184"/>
      <x:c r="BP96" s="184"/>
      <x:c r="BQ96" s="184"/>
      <x:c r="BR96" s="184"/>
      <x:c r="BS96" s="184"/>
      <x:c r="BT96" s="184"/>
      <x:c r="BU96" s="184"/>
      <x:c r="BV96" s="184"/>
      <x:c r="BW96" s="184"/>
      <x:c r="BX96" s="184"/>
      <x:c r="BY96" s="185"/>
    </x:row>
    <x:row r="97" ht="16.5" customHeight="1">
      <x:c r="A97"/>
      <x:c r="B97" s="165"/>
      <x:c r="C97" s="167" t="str">
        <x:v>화면·데이터·AI 연결</x:v>
      </x:c>
      <x:c r="D97" s="143" t="str">
        <x:v>화면의 테마 입력과 후보 제안 기능 연결</x:v>
      </x:c>
      <x:c r="E97" s="144" t="str">
        <x:v>통합</x:v>
      </x:c>
      <x:c r="F97" s="144" t="str">
        <x:v>김웅건</x:v>
      </x:c>
      <x:c r="G97" s="145" t="d">
        <x:v>2026-10-13T00:00:00.000Z</x:v>
      </x:c>
      <x:c r="H97" s="145" t="d">
        <x:v>2026-10-13T00:00:00.000Z</x:v>
      </x:c>
      <x:c r="I97" s="146" t="n">
        <x:f>IF(OR(G97="",H97=""),"",IF(H97&lt;G97,"일정확인",H97-G97+1))</x:f>
        <x:v>1</x:v>
      </x:c>
      <x:c r="J97" s="147" t="n">
        <x:v>1</x:v>
      </x:c>
      <x:c r="K97" s="144" t="str">
        <x:f>IF(ISNUMBER(J97),IF(J97=1,"완료",IF(J97=0,"미착수","진행중")),"")</x:f>
        <x:v>완료</x:v>
      </x:c>
      <x:c r="L97" s="148" t="str">
        <x:v>입력연동</x:v>
      </x:c>
      <x:c r="M97" s="148" t="str">
        <x:v>코드·모의연동 검사 완료</x:v>
      </x:c>
      <x:c r="N97" s="180"/>
      <x:c r="O97" s="181"/>
      <x:c r="P97" s="181"/>
      <x:c r="Q97" s="181"/>
      <x:c r="R97" s="181"/>
      <x:c r="S97" s="181"/>
      <x:c r="T97" s="181"/>
      <x:c r="U97" s="188"/>
      <x:c r="V97" s="181"/>
      <x:c r="W97" s="181"/>
      <x:c r="X97" s="181"/>
      <x:c r="Y97" s="181"/>
      <x:c r="Z97" s="181"/>
      <x:c r="AA97" s="181"/>
      <x:c r="AB97" s="181"/>
      <x:c r="AC97" s="181"/>
      <x:c r="AD97" s="181"/>
      <x:c r="AE97" s="181"/>
      <x:c r="AF97" s="181"/>
      <x:c r="AG97" s="181"/>
      <x:c r="AH97" s="181"/>
      <x:c r="AI97" s="181"/>
      <x:c r="AJ97" s="181"/>
      <x:c r="AK97" s="181"/>
      <x:c r="AL97" s="181"/>
      <x:c r="AM97" s="181"/>
      <x:c r="AN97" s="181"/>
      <x:c r="AO97" s="181"/>
      <x:c r="AP97" s="181"/>
      <x:c r="AQ97" s="181"/>
      <x:c r="AR97" s="181"/>
      <x:c r="AS97" s="181"/>
      <x:c r="AT97" s="181"/>
      <x:c r="AU97" s="181"/>
      <x:c r="AV97" s="181"/>
      <x:c r="AW97" s="181"/>
      <x:c r="AX97" s="181"/>
      <x:c r="AY97" s="181"/>
      <x:c r="AZ97" s="181"/>
      <x:c r="BA97" s="181"/>
      <x:c r="BB97" s="181"/>
      <x:c r="BC97" s="181"/>
      <x:c r="BD97" s="181"/>
      <x:c r="BE97" s="181"/>
      <x:c r="BF97" s="181"/>
      <x:c r="BG97" s="181"/>
      <x:c r="BH97" s="181"/>
      <x:c r="BI97" s="181"/>
      <x:c r="BJ97" s="181"/>
      <x:c r="BK97" s="181"/>
      <x:c r="BL97" s="181"/>
      <x:c r="BM97" s="181"/>
      <x:c r="BN97" s="181"/>
      <x:c r="BO97" s="181"/>
      <x:c r="BP97" s="181"/>
      <x:c r="BQ97" s="181"/>
      <x:c r="BR97" s="181"/>
      <x:c r="BS97" s="181"/>
      <x:c r="BT97" s="181"/>
      <x:c r="BU97" s="181"/>
      <x:c r="BV97" s="181"/>
      <x:c r="BW97" s="181"/>
      <x:c r="BX97" s="181"/>
      <x:c r="BY97" s="182"/>
    </x:row>
    <x:row r="98" ht="16.5" customHeight="1">
      <x:c r="A98"/>
      <x:c r="B98" s="165"/>
      <x:c r="C98" s="169"/>
      <x:c r="D98" s="111" t="str">
        <x:v>수집 데이터와 AI 리포트 생성 기능 연결</x:v>
      </x:c>
      <x:c r="E98" s="96" t="str">
        <x:v>통합</x:v>
      </x:c>
      <x:c r="F98" s="96" t="str">
        <x:v>김웅건</x:v>
      </x:c>
      <x:c r="G98" s="126" t="d">
        <x:v>2026-10-13T00:00:00.000Z</x:v>
      </x:c>
      <x:c r="H98" s="126" t="d">
        <x:v>2026-10-13T00:00:00.000Z</x:v>
      </x:c>
      <x:c r="I98" s="113" t="n">
        <x:f>IF(OR(G98="",H98=""),"",IF(H98&lt;G98,"일정확인",H98-G98+1))</x:f>
        <x:v>1</x:v>
      </x:c>
      <x:c r="J98" s="117" t="n">
        <x:v>1</x:v>
      </x:c>
      <x:c r="K98" s="96" t="str">
        <x:f>IF(ISNUMBER(J98),IF(J98=1,"완료",IF(J98=0,"미착수","진행중")),"")</x:f>
        <x:v>완료</x:v>
      </x:c>
      <x:c r="L98" s="119" t="str">
        <x:v>분석연동</x:v>
      </x:c>
      <x:c r="M98" s="119" t="str">
        <x:v>코드·모의연동 검사 완료</x:v>
      </x:c>
      <x:c r="N98" s="183"/>
      <x:c r="O98" s="184"/>
      <x:c r="P98" s="184"/>
      <x:c r="Q98" s="184"/>
      <x:c r="R98" s="184"/>
      <x:c r="S98" s="184"/>
      <x:c r="T98" s="184"/>
      <x:c r="U98" s="189"/>
      <x:c r="V98" s="184"/>
      <x:c r="W98" s="184"/>
      <x:c r="X98" s="184"/>
      <x:c r="Y98" s="184"/>
      <x:c r="Z98" s="184"/>
      <x:c r="AA98" s="184"/>
      <x:c r="AB98" s="184"/>
      <x:c r="AC98" s="184"/>
      <x:c r="AD98" s="184"/>
      <x:c r="AE98" s="184"/>
      <x:c r="AF98" s="184"/>
      <x:c r="AG98" s="184"/>
      <x:c r="AH98" s="184"/>
      <x:c r="AI98" s="184"/>
      <x:c r="AJ98" s="184"/>
      <x:c r="AK98" s="184"/>
      <x:c r="AL98" s="184"/>
      <x:c r="AM98" s="184"/>
      <x:c r="AN98" s="184"/>
      <x:c r="AO98" s="184"/>
      <x:c r="AP98" s="184"/>
      <x:c r="AQ98" s="184"/>
      <x:c r="AR98" s="184"/>
      <x:c r="AS98" s="184"/>
      <x:c r="AT98" s="184"/>
      <x:c r="AU98" s="184"/>
      <x:c r="AV98" s="184"/>
      <x:c r="AW98" s="184"/>
      <x:c r="AX98" s="184"/>
      <x:c r="AY98" s="184"/>
      <x:c r="AZ98" s="184"/>
      <x:c r="BA98" s="184"/>
      <x:c r="BB98" s="184"/>
      <x:c r="BC98" s="184"/>
      <x:c r="BD98" s="184"/>
      <x:c r="BE98" s="184"/>
      <x:c r="BF98" s="184"/>
      <x:c r="BG98" s="184"/>
      <x:c r="BH98" s="184"/>
      <x:c r="BI98" s="184"/>
      <x:c r="BJ98" s="184"/>
      <x:c r="BK98" s="184"/>
      <x:c r="BL98" s="184"/>
      <x:c r="BM98" s="184"/>
      <x:c r="BN98" s="184"/>
      <x:c r="BO98" s="184"/>
      <x:c r="BP98" s="184"/>
      <x:c r="BQ98" s="184"/>
      <x:c r="BR98" s="184"/>
      <x:c r="BS98" s="184"/>
      <x:c r="BT98" s="184"/>
      <x:c r="BU98" s="184"/>
      <x:c r="BV98" s="184"/>
      <x:c r="BW98" s="184"/>
      <x:c r="BX98" s="184"/>
      <x:c r="BY98" s="185"/>
    </x:row>
    <x:row r="99" ht="16.5" customHeight="1">
      <x:c r="A99"/>
      <x:c r="B99" s="165"/>
      <x:c r="C99" s="169"/>
      <x:c r="D99" s="111" t="str">
        <x:v>종목 변경·재요청 시 이전 결과 초기화 상태 연결</x:v>
      </x:c>
      <x:c r="E99" s="96" t="str">
        <x:v>통합</x:v>
      </x:c>
      <x:c r="F99" s="96" t="str">
        <x:v>김웅건</x:v>
      </x:c>
      <x:c r="G99" s="126" t="d">
        <x:v>2026-11-29T00:00:00.000Z</x:v>
      </x:c>
      <x:c r="H99" s="126" t="d">
        <x:v>2026-11-29T00:00:00.000Z</x:v>
      </x:c>
      <x:c r="I99" s="113" t="n">
        <x:f>IF(OR(G99="",H99=""),"",IF(H99&lt;G99,"일정확인",H99-G99+1))</x:f>
        <x:v>1</x:v>
      </x:c>
      <x:c r="J99" s="117"/>
      <x:c r="K99" s="96" t="str">
        <x:v>진행중</x:v>
      </x:c>
      <x:c r="L99" s="119" t="str">
        <x:v>상태연동</x:v>
      </x:c>
      <x:c r="M99" s="119" t="str">
        <x:v>재요청만·종목 변경 기능 전</x:v>
      </x:c>
      <x:c r="N99" s="183"/>
      <x:c r="O99" s="184"/>
      <x:c r="P99" s="184"/>
      <x:c r="Q99" s="184"/>
      <x:c r="R99" s="184"/>
      <x:c r="S99" s="184"/>
      <x:c r="T99" s="184"/>
      <x:c r="U99" s="183"/>
      <x:c r="V99" s="184"/>
      <x:c r="W99" s="184"/>
      <x:c r="X99" s="184"/>
      <x:c r="Y99" s="184"/>
      <x:c r="Z99" s="184"/>
      <x:c r="AA99" s="184"/>
      <x:c r="AB99" s="184"/>
      <x:c r="AC99" s="184"/>
      <x:c r="AD99" s="184"/>
      <x:c r="AE99" s="184"/>
      <x:c r="AF99" s="184"/>
      <x:c r="AG99" s="184"/>
      <x:c r="AH99" s="184"/>
      <x:c r="AI99" s="184"/>
      <x:c r="AJ99" s="184"/>
      <x:c r="AK99" s="184"/>
      <x:c r="AL99" s="184"/>
      <x:c r="AM99" s="184"/>
      <x:c r="AN99" s="184"/>
      <x:c r="AO99" s="184"/>
      <x:c r="AP99" s="184"/>
      <x:c r="AQ99" s="184"/>
      <x:c r="AR99" s="184"/>
      <x:c r="AS99" s="184"/>
      <x:c r="AT99" s="184"/>
      <x:c r="AU99" s="184"/>
      <x:c r="AV99" s="184"/>
      <x:c r="AW99" s="184"/>
      <x:c r="AX99" s="184"/>
      <x:c r="AY99" s="184"/>
      <x:c r="AZ99" s="184"/>
      <x:c r="BA99" s="184"/>
      <x:c r="BB99" s="184"/>
      <x:c r="BC99" s="184"/>
      <x:c r="BD99" s="184"/>
      <x:c r="BE99" s="184"/>
      <x:c r="BF99" s="184"/>
      <x:c r="BG99" s="184"/>
      <x:c r="BH99" s="184"/>
      <x:c r="BI99" s="184"/>
      <x:c r="BJ99" s="184"/>
      <x:c r="BK99" s="184"/>
      <x:c r="BL99" s="184"/>
      <x:c r="BM99" s="184"/>
      <x:c r="BN99" s="184"/>
      <x:c r="BO99" s="184"/>
      <x:c r="BP99" s="184"/>
      <x:c r="BQ99" s="184"/>
      <x:c r="BR99" s="184"/>
      <x:c r="BS99" s="184"/>
      <x:c r="BT99" s="184"/>
      <x:c r="BU99" s="184"/>
      <x:c r="BV99" s="184"/>
      <x:c r="BW99" s="184"/>
      <x:c r="BX99" s="184"/>
      <x:c r="BY99" s="185"/>
    </x:row>
    <x:row r="100" ht="16.5" customHeight="1">
      <x:c r="A100"/>
      <x:c r="B100" s="166"/>
      <x:c r="C100" s="170"/>
      <x:c r="D100" s="111" t="str">
        <x:v>분석 결과와 지표·차트·엑셀 다운로드 화면 연결</x:v>
      </x:c>
      <x:c r="E100" s="96" t="str">
        <x:v>통합</x:v>
      </x:c>
      <x:c r="F100" s="96" t="str">
        <x:v>김웅건</x:v>
      </x:c>
      <x:c r="G100" s="126" t="d">
        <x:v>2026-11-30T00:00:00.000Z</x:v>
      </x:c>
      <x:c r="H100" s="126" t="d">
        <x:v>2026-11-30T00:00:00.000Z</x:v>
      </x:c>
      <x:c r="I100" s="113" t="n">
        <x:f>IF(OR(G100="",H100=""),"",IF(H100&lt;G100,"일정확인",H100-G100+1))</x:f>
        <x:v>1</x:v>
      </x:c>
      <x:c r="J100" s="117" t="n">
        <x:v>0</x:v>
      </x:c>
      <x:c r="K100" s="96" t="str">
        <x:f>IF(ISNUMBER(J100),IF(J100=1,"완료",IF(J100=0,"미착수","진행중")),"")</x:f>
        <x:v>미착수</x:v>
      </x:c>
      <x:c r="L100" s="119" t="str">
        <x:v>전체연동</x:v>
      </x:c>
      <x:c r="M100" s="119" t="str">
        <x:v>분석 기능 확장</x:v>
      </x:c>
      <x:c r="N100" s="183"/>
      <x:c r="O100" s="184"/>
      <x:c r="P100" s="184"/>
      <x:c r="Q100" s="184"/>
      <x:c r="R100" s="184"/>
      <x:c r="S100" s="184"/>
      <x:c r="T100" s="184"/>
      <x:c r="U100" s="183"/>
      <x:c r="V100" s="184"/>
      <x:c r="W100" s="184"/>
      <x:c r="X100" s="184"/>
      <x:c r="Y100" s="184"/>
      <x:c r="Z100" s="184"/>
      <x:c r="AA100" s="184"/>
      <x:c r="AB100" s="184"/>
      <x:c r="AC100" s="184"/>
      <x:c r="AD100" s="184"/>
      <x:c r="AE100" s="184"/>
      <x:c r="AF100" s="184"/>
      <x:c r="AG100" s="184"/>
      <x:c r="AH100" s="184"/>
      <x:c r="AI100" s="184"/>
      <x:c r="AJ100" s="184"/>
      <x:c r="AK100" s="184"/>
      <x:c r="AL100" s="184"/>
      <x:c r="AM100" s="184"/>
      <x:c r="AN100" s="184"/>
      <x:c r="AO100" s="184"/>
      <x:c r="AP100" s="184"/>
      <x:c r="AQ100" s="184"/>
      <x:c r="AR100" s="184"/>
      <x:c r="AS100" s="184"/>
      <x:c r="AT100" s="184"/>
      <x:c r="AU100" s="184"/>
      <x:c r="AV100" s="184"/>
      <x:c r="AW100" s="184"/>
      <x:c r="AX100" s="184"/>
      <x:c r="AY100" s="184"/>
      <x:c r="AZ100" s="184"/>
      <x:c r="BA100" s="184"/>
      <x:c r="BB100" s="184"/>
      <x:c r="BC100" s="184"/>
      <x:c r="BD100" s="184"/>
      <x:c r="BE100" s="184"/>
      <x:c r="BF100" s="184"/>
      <x:c r="BG100" s="184"/>
      <x:c r="BH100" s="184"/>
      <x:c r="BI100" s="184"/>
      <x:c r="BJ100" s="184"/>
      <x:c r="BK100" s="184"/>
      <x:c r="BL100" s="184"/>
      <x:c r="BM100" s="184"/>
      <x:c r="BN100" s="184"/>
      <x:c r="BO100" s="184"/>
      <x:c r="BP100" s="184"/>
      <x:c r="BQ100" s="184"/>
      <x:c r="BR100" s="184"/>
      <x:c r="BS100" s="184"/>
      <x:c r="BT100" s="184"/>
      <x:c r="BU100" s="184"/>
      <x:c r="BV100" s="184"/>
      <x:c r="BW100" s="184"/>
      <x:c r="BX100" s="184"/>
      <x:c r="BY100" s="185"/>
    </x:row>
    <x:row r="101" ht="16.5" customHeight="1">
      <x:c r="A101"/>
      <x:c r="B101" s="164" t="str">
        <x:v>검증 및 테스트</x:v>
      </x:c>
      <x:c r="C101" s="167" t="str">
        <x:v>데이터 수집 결과 검증</x:v>
      </x:c>
      <x:c r="D101" s="143" t="str">
        <x:v>상장 종목명·종목코드·시장별 조회 코드 검증</x:v>
      </x:c>
      <x:c r="E101" s="144" t="str">
        <x:v>검증</x:v>
      </x:c>
      <x:c r="F101" s="144" t="str">
        <x:v>조윤기</x:v>
      </x:c>
      <x:c r="G101" s="145" t="d">
        <x:v>2026-10-13T00:00:00.000Z</x:v>
      </x:c>
      <x:c r="H101" s="145" t="d">
        <x:v>2026-10-13T00:00:00.000Z</x:v>
      </x:c>
      <x:c r="I101" s="146" t="n">
        <x:f>IF(OR(G101="",H101=""),"",IF(H101&lt;G101,"일정확인",H101-G101+1))</x:f>
        <x:v>1</x:v>
      </x:c>
      <x:c r="J101" s="147" t="n">
        <x:v>1</x:v>
      </x:c>
      <x:c r="K101" s="144" t="str">
        <x:f>IF(ISNUMBER(J101),IF(J101=1,"완료",IF(J101=0,"미착수","진행중")),"")</x:f>
        <x:v>완료</x:v>
      </x:c>
      <x:c r="L101" s="148" t="str">
        <x:v>종목검증표</x:v>
      </x:c>
      <x:c r="M101" s="148" t="str">
        <x:v>모의응답 검증 완료</x:v>
      </x:c>
      <x:c r="N101" s="180"/>
      <x:c r="O101" s="181"/>
      <x:c r="P101" s="181"/>
      <x:c r="Q101" s="181"/>
      <x:c r="R101" s="181"/>
      <x:c r="S101" s="181"/>
      <x:c r="T101" s="181"/>
      <x:c r="U101" s="192"/>
      <x:c r="V101" s="181"/>
      <x:c r="W101" s="181"/>
      <x:c r="X101" s="181"/>
      <x:c r="Y101" s="181"/>
      <x:c r="Z101" s="181"/>
      <x:c r="AA101" s="181"/>
      <x:c r="AB101" s="181"/>
      <x:c r="AC101" s="181"/>
      <x:c r="AD101" s="181"/>
      <x:c r="AE101" s="181"/>
      <x:c r="AF101" s="181"/>
      <x:c r="AG101" s="181"/>
      <x:c r="AH101" s="181"/>
      <x:c r="AI101" s="181"/>
      <x:c r="AJ101" s="181"/>
      <x:c r="AK101" s="181"/>
      <x:c r="AL101" s="181"/>
      <x:c r="AM101" s="181"/>
      <x:c r="AN101" s="181"/>
      <x:c r="AO101" s="181"/>
      <x:c r="AP101" s="181"/>
      <x:c r="AQ101" s="181"/>
      <x:c r="AR101" s="181"/>
      <x:c r="AS101" s="181"/>
      <x:c r="AT101" s="181"/>
      <x:c r="AU101" s="181"/>
      <x:c r="AV101" s="181"/>
      <x:c r="AW101" s="181"/>
      <x:c r="AX101" s="181"/>
      <x:c r="AY101" s="181"/>
      <x:c r="AZ101" s="181"/>
      <x:c r="BA101" s="181"/>
      <x:c r="BB101" s="181"/>
      <x:c r="BC101" s="181"/>
      <x:c r="BD101" s="181"/>
      <x:c r="BE101" s="181"/>
      <x:c r="BF101" s="181"/>
      <x:c r="BG101" s="181"/>
      <x:c r="BH101" s="181"/>
      <x:c r="BI101" s="181"/>
      <x:c r="BJ101" s="181"/>
      <x:c r="BK101" s="181"/>
      <x:c r="BL101" s="181"/>
      <x:c r="BM101" s="181"/>
      <x:c r="BN101" s="181"/>
      <x:c r="BO101" s="181"/>
      <x:c r="BP101" s="181"/>
      <x:c r="BQ101" s="181"/>
      <x:c r="BR101" s="181"/>
      <x:c r="BS101" s="181"/>
      <x:c r="BT101" s="181"/>
      <x:c r="BU101" s="181"/>
      <x:c r="BV101" s="181"/>
      <x:c r="BW101" s="181"/>
      <x:c r="BX101" s="181"/>
      <x:c r="BY101" s="182"/>
    </x:row>
    <x:row r="102" ht="16.5" customHeight="1">
      <x:c r="A102"/>
      <x:c r="B102" s="165"/>
      <x:c r="C102" s="169"/>
      <x:c r="D102" s="111" t="str">
        <x:v>주가·금융 지표와 제공 원자료의 값 대조</x:v>
      </x:c>
      <x:c r="E102" s="96" t="str">
        <x:v>검증</x:v>
      </x:c>
      <x:c r="F102" s="96" t="str">
        <x:v>조윤기</x:v>
      </x:c>
      <x:c r="G102" s="126" t="d">
        <x:v>2026-11-21T00:00:00.000Z</x:v>
      </x:c>
      <x:c r="H102" s="126" t="d">
        <x:v>2026-11-22T00:00:00.000Z</x:v>
      </x:c>
      <x:c r="I102" s="113" t="n">
        <x:f>IF(OR(G102="",H102=""),"",IF(H102&lt;G102,"일정확인",H102-G102+1))</x:f>
        <x:v>2</x:v>
      </x:c>
      <x:c r="J102" s="117"/>
      <x:c r="K102" s="96" t="str">
        <x:v>진행중</x:v>
      </x:c>
      <x:c r="L102" s="119" t="str">
        <x:v>지표대조표</x:v>
      </x:c>
      <x:c r="M102" s="119" t="str">
        <x:v>모의값 대조·실자료 미확인</x:v>
      </x:c>
      <x:c r="N102" s="183"/>
      <x:c r="O102" s="184"/>
      <x:c r="P102" s="184"/>
      <x:c r="Q102" s="184"/>
      <x:c r="R102" s="184"/>
      <x:c r="S102" s="184"/>
      <x:c r="T102" s="184"/>
      <x:c r="U102" s="183"/>
      <x:c r="V102" s="184"/>
      <x:c r="W102" s="184"/>
      <x:c r="X102" s="184"/>
      <x:c r="Y102" s="184"/>
      <x:c r="Z102" s="184"/>
      <x:c r="AA102" s="184"/>
      <x:c r="AB102" s="184"/>
      <x:c r="AC102" s="184"/>
      <x:c r="AD102" s="184"/>
      <x:c r="AE102" s="184"/>
      <x:c r="AF102" s="184"/>
      <x:c r="AG102" s="184"/>
      <x:c r="AH102" s="184"/>
      <x:c r="AI102" s="184"/>
      <x:c r="AJ102" s="184"/>
      <x:c r="AK102" s="184"/>
      <x:c r="AL102" s="184"/>
      <x:c r="AM102" s="184"/>
      <x:c r="AN102" s="184"/>
      <x:c r="AO102" s="184"/>
      <x:c r="AP102" s="184"/>
      <x:c r="AQ102" s="184"/>
      <x:c r="AR102" s="184"/>
      <x:c r="AS102" s="184"/>
      <x:c r="AT102" s="184"/>
      <x:c r="AU102" s="184"/>
      <x:c r="AV102" s="184"/>
      <x:c r="AW102" s="184"/>
      <x:c r="AX102" s="184"/>
      <x:c r="AY102" s="184"/>
      <x:c r="AZ102" s="184"/>
      <x:c r="BA102" s="184"/>
      <x:c r="BB102" s="184"/>
      <x:c r="BC102" s="184"/>
      <x:c r="BD102" s="184"/>
      <x:c r="BE102" s="184"/>
      <x:c r="BF102" s="184"/>
      <x:c r="BG102" s="184"/>
      <x:c r="BH102" s="184"/>
      <x:c r="BI102" s="184"/>
      <x:c r="BJ102" s="184"/>
      <x:c r="BK102" s="184"/>
      <x:c r="BL102" s="184"/>
      <x:c r="BM102" s="184"/>
      <x:c r="BN102" s="184"/>
      <x:c r="BO102" s="184"/>
      <x:c r="BP102" s="184"/>
      <x:c r="BQ102" s="184"/>
      <x:c r="BR102" s="184"/>
      <x:c r="BS102" s="184"/>
      <x:c r="BT102" s="184"/>
      <x:c r="BU102" s="184"/>
      <x:c r="BV102" s="184"/>
      <x:c r="BW102" s="184"/>
      <x:c r="BX102" s="184"/>
      <x:c r="BY102" s="185"/>
    </x:row>
    <x:row r="103" ht="16.5" customHeight="1">
      <x:c r="A103"/>
      <x:c r="B103" s="165"/>
      <x:c r="C103" s="169"/>
      <x:c r="D103" s="111" t="str">
        <x:v>뉴스 제목·링크·발행 시각 정합성 검증</x:v>
      </x:c>
      <x:c r="E103" s="96" t="str">
        <x:v>검증</x:v>
      </x:c>
      <x:c r="F103" s="96" t="str">
        <x:v>조윤기</x:v>
      </x:c>
      <x:c r="G103" s="126" t="d">
        <x:v>2026-10-13T00:00:00.000Z</x:v>
      </x:c>
      <x:c r="H103" s="126" t="d">
        <x:v>2026-10-13T00:00:00.000Z</x:v>
      </x:c>
      <x:c r="I103" s="113" t="n">
        <x:f>IF(OR(G103="",H103=""),"",IF(H103&lt;G103,"일정확인",H103-G103+1))</x:f>
        <x:v>1</x:v>
      </x:c>
      <x:c r="J103" s="117" t="n">
        <x:v>1</x:v>
      </x:c>
      <x:c r="K103" s="96" t="str">
        <x:f>IF(ISNUMBER(J103),IF(J103=1,"완료",IF(J103=0,"미착수","진행중")),"")</x:f>
        <x:v>완료</x:v>
      </x:c>
      <x:c r="L103" s="119" t="str">
        <x:v>뉴스대조표</x:v>
      </x:c>
      <x:c r="M103" s="119" t="str">
        <x:v>모의응답 검증 완료</x:v>
      </x:c>
      <x:c r="N103" s="183"/>
      <x:c r="O103" s="184"/>
      <x:c r="P103" s="184"/>
      <x:c r="Q103" s="184"/>
      <x:c r="R103" s="184"/>
      <x:c r="S103" s="184"/>
      <x:c r="T103" s="184"/>
      <x:c r="U103" s="193"/>
      <x:c r="V103" s="184"/>
      <x:c r="W103" s="184"/>
      <x:c r="X103" s="184"/>
      <x:c r="Y103" s="184"/>
      <x:c r="Z103" s="184"/>
      <x:c r="AA103" s="184"/>
      <x:c r="AB103" s="184"/>
      <x:c r="AC103" s="184"/>
      <x:c r="AD103" s="184"/>
      <x:c r="AE103" s="184"/>
      <x:c r="AF103" s="184"/>
      <x:c r="AG103" s="184"/>
      <x:c r="AH103" s="184"/>
      <x:c r="AI103" s="184"/>
      <x:c r="AJ103" s="184"/>
      <x:c r="AK103" s="184"/>
      <x:c r="AL103" s="184"/>
      <x:c r="AM103" s="184"/>
      <x:c r="AN103" s="184"/>
      <x:c r="AO103" s="184"/>
      <x:c r="AP103" s="184"/>
      <x:c r="AQ103" s="184"/>
      <x:c r="AR103" s="184"/>
      <x:c r="AS103" s="184"/>
      <x:c r="AT103" s="184"/>
      <x:c r="AU103" s="184"/>
      <x:c r="AV103" s="184"/>
      <x:c r="AW103" s="184"/>
      <x:c r="AX103" s="184"/>
      <x:c r="AY103" s="184"/>
      <x:c r="AZ103" s="184"/>
      <x:c r="BA103" s="184"/>
      <x:c r="BB103" s="184"/>
      <x:c r="BC103" s="184"/>
      <x:c r="BD103" s="184"/>
      <x:c r="BE103" s="184"/>
      <x:c r="BF103" s="184"/>
      <x:c r="BG103" s="184"/>
      <x:c r="BH103" s="184"/>
      <x:c r="BI103" s="184"/>
      <x:c r="BJ103" s="184"/>
      <x:c r="BK103" s="184"/>
      <x:c r="BL103" s="184"/>
      <x:c r="BM103" s="184"/>
      <x:c r="BN103" s="184"/>
      <x:c r="BO103" s="184"/>
      <x:c r="BP103" s="184"/>
      <x:c r="BQ103" s="184"/>
      <x:c r="BR103" s="184"/>
      <x:c r="BS103" s="184"/>
      <x:c r="BT103" s="184"/>
      <x:c r="BU103" s="184"/>
      <x:c r="BV103" s="184"/>
      <x:c r="BW103" s="184"/>
      <x:c r="BX103" s="184"/>
      <x:c r="BY103" s="185"/>
    </x:row>
    <x:row r="104" ht="16.5" customHeight="1">
      <x:c r="A104"/>
      <x:c r="B104" s="165"/>
      <x:c r="C104" s="169"/>
      <x:c r="D104" s="111" t="str">
        <x:v>인증 실패·시간 초과·결측값 반환 결과 검증</x:v>
      </x:c>
      <x:c r="E104" s="96" t="str">
        <x:v>검증</x:v>
      </x:c>
      <x:c r="F104" s="96" t="str">
        <x:v>조윤기</x:v>
      </x:c>
      <x:c r="G104" s="126" t="d">
        <x:v>2026-10-13T00:00:00.000Z</x:v>
      </x:c>
      <x:c r="H104" s="126" t="d">
        <x:v>2026-10-13T00:00:00.000Z</x:v>
      </x:c>
      <x:c r="I104" s="113" t="n">
        <x:f>IF(OR(G104="",H104=""),"",IF(H104&lt;G104,"일정확인",H104-G104+1))</x:f>
        <x:v>1</x:v>
      </x:c>
      <x:c r="J104" s="117" t="n">
        <x:v>1</x:v>
      </x:c>
      <x:c r="K104" s="96" t="str">
        <x:f>IF(ISNUMBER(J104),IF(J104=1,"완료",IF(J104=0,"미착수","진행중")),"")</x:f>
        <x:v>완료</x:v>
      </x:c>
      <x:c r="L104" s="119" t="str">
        <x:v>상태검증표</x:v>
      </x:c>
      <x:c r="M104" s="119" t="str">
        <x:v>모의응답 검증 완료</x:v>
      </x:c>
      <x:c r="N104" s="183"/>
      <x:c r="O104" s="184"/>
      <x:c r="P104" s="184"/>
      <x:c r="Q104" s="184"/>
      <x:c r="R104" s="184"/>
      <x:c r="S104" s="184"/>
      <x:c r="T104" s="184"/>
      <x:c r="U104" s="193"/>
      <x:c r="V104" s="184"/>
      <x:c r="W104" s="184"/>
      <x:c r="X104" s="184"/>
      <x:c r="Y104" s="184"/>
      <x:c r="Z104" s="184"/>
      <x:c r="AA104" s="184"/>
      <x:c r="AB104" s="184"/>
      <x:c r="AC104" s="184"/>
      <x:c r="AD104" s="184"/>
      <x:c r="AE104" s="184"/>
      <x:c r="AF104" s="184"/>
      <x:c r="AG104" s="184"/>
      <x:c r="AH104" s="184"/>
      <x:c r="AI104" s="184"/>
      <x:c r="AJ104" s="184"/>
      <x:c r="AK104" s="184"/>
      <x:c r="AL104" s="184"/>
      <x:c r="AM104" s="184"/>
      <x:c r="AN104" s="184"/>
      <x:c r="AO104" s="184"/>
      <x:c r="AP104" s="184"/>
      <x:c r="AQ104" s="184"/>
      <x:c r="AR104" s="184"/>
      <x:c r="AS104" s="184"/>
      <x:c r="AT104" s="184"/>
      <x:c r="AU104" s="184"/>
      <x:c r="AV104" s="184"/>
      <x:c r="AW104" s="184"/>
      <x:c r="AX104" s="184"/>
      <x:c r="AY104" s="184"/>
      <x:c r="AZ104" s="184"/>
      <x:c r="BA104" s="184"/>
      <x:c r="BB104" s="184"/>
      <x:c r="BC104" s="184"/>
      <x:c r="BD104" s="184"/>
      <x:c r="BE104" s="184"/>
      <x:c r="BF104" s="184"/>
      <x:c r="BG104" s="184"/>
      <x:c r="BH104" s="184"/>
      <x:c r="BI104" s="184"/>
      <x:c r="BJ104" s="184"/>
      <x:c r="BK104" s="184"/>
      <x:c r="BL104" s="184"/>
      <x:c r="BM104" s="184"/>
      <x:c r="BN104" s="184"/>
      <x:c r="BO104" s="184"/>
      <x:c r="BP104" s="184"/>
      <x:c r="BQ104" s="184"/>
      <x:c r="BR104" s="184"/>
      <x:c r="BS104" s="184"/>
      <x:c r="BT104" s="184"/>
      <x:c r="BU104" s="184"/>
      <x:c r="BV104" s="184"/>
      <x:c r="BW104" s="184"/>
      <x:c r="BX104" s="184"/>
      <x:c r="BY104" s="185"/>
    </x:row>
    <x:row r="105" ht="16.5" customHeight="1">
      <x:c r="A105"/>
      <x:c r="B105" s="165"/>
      <x:c r="C105" s="170"/>
      <x:c r="D105" s="111" t="str">
        <x:v>재무제표 기간·구분·금액 단위 정합성 검증</x:v>
      </x:c>
      <x:c r="E105" s="96" t="str">
        <x:v>검증</x:v>
      </x:c>
      <x:c r="F105" s="96" t="str">
        <x:v>조윤기</x:v>
      </x:c>
      <x:c r="G105" s="126" t="d">
        <x:v>2026-11-23T00:00:00.000Z</x:v>
      </x:c>
      <x:c r="H105" s="126" t="d">
        <x:v>2026-11-24T00:00:00.000Z</x:v>
      </x:c>
      <x:c r="I105" s="113" t="n">
        <x:f>IF(OR(G105="",H105=""),"",IF(H105&lt;G105,"일정확인",H105-G105+1))</x:f>
        <x:v>2</x:v>
      </x:c>
      <x:c r="J105" s="117" t="n">
        <x:v>0</x:v>
      </x:c>
      <x:c r="K105" s="96" t="str">
        <x:f>IF(ISNUMBER(J105),IF(J105=1,"완료",IF(J105=0,"미착수","진행중")),"")</x:f>
        <x:v>미착수</x:v>
      </x:c>
      <x:c r="L105" s="119" t="str">
        <x:v>재무검증표</x:v>
      </x:c>
      <x:c r="M105" s="119" t="str">
        <x:v>연간 예시만·앱 검증 전</x:v>
      </x:c>
      <x:c r="N105" s="183"/>
      <x:c r="O105" s="184"/>
      <x:c r="P105" s="184"/>
      <x:c r="Q105" s="184"/>
      <x:c r="R105" s="184"/>
      <x:c r="S105" s="184"/>
      <x:c r="T105" s="184"/>
      <x:c r="U105" s="183"/>
      <x:c r="V105" s="184"/>
      <x:c r="W105" s="184"/>
      <x:c r="X105" s="184"/>
      <x:c r="Y105" s="184"/>
      <x:c r="Z105" s="184"/>
      <x:c r="AA105" s="184"/>
      <x:c r="AB105" s="184"/>
      <x:c r="AC105" s="184"/>
      <x:c r="AD105" s="184"/>
      <x:c r="AE105" s="184"/>
      <x:c r="AF105" s="184"/>
      <x:c r="AG105" s="184"/>
      <x:c r="AH105" s="184"/>
      <x:c r="AI105" s="184"/>
      <x:c r="AJ105" s="184"/>
      <x:c r="AK105" s="184"/>
      <x:c r="AL105" s="184"/>
      <x:c r="AM105" s="184"/>
      <x:c r="AN105" s="184"/>
      <x:c r="AO105" s="184"/>
      <x:c r="AP105" s="184"/>
      <x:c r="AQ105" s="184"/>
      <x:c r="AR105" s="184"/>
      <x:c r="AS105" s="184"/>
      <x:c r="AT105" s="184"/>
      <x:c r="AU105" s="184"/>
      <x:c r="AV105" s="184"/>
      <x:c r="AW105" s="184"/>
      <x:c r="AX105" s="184"/>
      <x:c r="AY105" s="184"/>
      <x:c r="AZ105" s="184"/>
      <x:c r="BA105" s="184"/>
      <x:c r="BB105" s="184"/>
      <x:c r="BC105" s="184"/>
      <x:c r="BD105" s="184"/>
      <x:c r="BE105" s="184"/>
      <x:c r="BF105" s="184"/>
      <x:c r="BG105" s="184"/>
      <x:c r="BH105" s="184"/>
      <x:c r="BI105" s="184"/>
      <x:c r="BJ105" s="184"/>
      <x:c r="BK105" s="184"/>
      <x:c r="BL105" s="184"/>
      <x:c r="BM105" s="184"/>
      <x:c r="BN105" s="184"/>
      <x:c r="BO105" s="184"/>
      <x:c r="BP105" s="184"/>
      <x:c r="BQ105" s="184"/>
      <x:c r="BR105" s="184"/>
      <x:c r="BS105" s="184"/>
      <x:c r="BT105" s="184"/>
      <x:c r="BU105" s="184"/>
      <x:c r="BV105" s="184"/>
      <x:c r="BW105" s="184"/>
      <x:c r="BX105" s="184"/>
      <x:c r="BY105" s="185"/>
    </x:row>
    <x:row r="106" ht="16.5" customHeight="1">
      <x:c r="A106"/>
      <x:c r="B106" s="165"/>
      <x:c r="C106" s="170"/>
      <x:c r="D106" s="111" t="str">
        <x:v>엑셀 수치·종목·기간·출처의 원자료 대조 검증</x:v>
      </x:c>
      <x:c r="E106" s="96" t="str">
        <x:v>검증</x:v>
      </x:c>
      <x:c r="F106" s="96" t="str">
        <x:v>조윤기</x:v>
      </x:c>
      <x:c r="G106" s="126" t="d">
        <x:v>2026-11-25T00:00:00.000Z</x:v>
      </x:c>
      <x:c r="H106" s="126" t="d">
        <x:v>2026-11-26T00:00:00.000Z</x:v>
      </x:c>
      <x:c r="I106" s="113" t="n">
        <x:f>IF(OR(G106="",H106=""),"",IF(H106&lt;G106,"일정확인",H106-G106+1))</x:f>
        <x:v>2</x:v>
      </x:c>
      <x:c r="J106" s="117" t="n">
        <x:v>0</x:v>
      </x:c>
      <x:c r="K106" s="96" t="str">
        <x:f>IF(ISNUMBER(J106),IF(J106=1,"완료",IF(J106=0,"미착수","진행중")),"")</x:f>
        <x:v>미착수</x:v>
      </x:c>
      <x:c r="L106" s="119" t="str">
        <x:v>엑셀대조표</x:v>
      </x:c>
      <x:c r="M106" s="119" t="str">
        <x:v>엑셀 예시만·앱 검증 전</x:v>
      </x:c>
      <x:c r="N106" s="183"/>
      <x:c r="O106" s="184"/>
      <x:c r="P106" s="184"/>
      <x:c r="Q106" s="184"/>
      <x:c r="R106" s="184"/>
      <x:c r="S106" s="184"/>
      <x:c r="T106" s="184"/>
      <x:c r="U106" s="183"/>
      <x:c r="V106" s="184"/>
      <x:c r="W106" s="184"/>
      <x:c r="X106" s="184"/>
      <x:c r="Y106" s="184"/>
      <x:c r="Z106" s="184"/>
      <x:c r="AA106" s="184"/>
      <x:c r="AB106" s="184"/>
      <x:c r="AC106" s="184"/>
      <x:c r="AD106" s="184"/>
      <x:c r="AE106" s="184"/>
      <x:c r="AF106" s="184"/>
      <x:c r="AG106" s="184"/>
      <x:c r="AH106" s="184"/>
      <x:c r="AI106" s="184"/>
      <x:c r="AJ106" s="184"/>
      <x:c r="AK106" s="184"/>
      <x:c r="AL106" s="184"/>
      <x:c r="AM106" s="184"/>
      <x:c r="AN106" s="184"/>
      <x:c r="AO106" s="184"/>
      <x:c r="AP106" s="184"/>
      <x:c r="AQ106" s="184"/>
      <x:c r="AR106" s="184"/>
      <x:c r="AS106" s="184"/>
      <x:c r="AT106" s="184"/>
      <x:c r="AU106" s="184"/>
      <x:c r="AV106" s="184"/>
      <x:c r="AW106" s="184"/>
      <x:c r="AX106" s="184"/>
      <x:c r="AY106" s="184"/>
      <x:c r="AZ106" s="184"/>
      <x:c r="BA106" s="184"/>
      <x:c r="BB106" s="184"/>
      <x:c r="BC106" s="184"/>
      <x:c r="BD106" s="184"/>
      <x:c r="BE106" s="184"/>
      <x:c r="BF106" s="184"/>
      <x:c r="BG106" s="184"/>
      <x:c r="BH106" s="184"/>
      <x:c r="BI106" s="184"/>
      <x:c r="BJ106" s="184"/>
      <x:c r="BK106" s="184"/>
      <x:c r="BL106" s="184"/>
      <x:c r="BM106" s="184"/>
      <x:c r="BN106" s="184"/>
      <x:c r="BO106" s="184"/>
      <x:c r="BP106" s="184"/>
      <x:c r="BQ106" s="184"/>
      <x:c r="BR106" s="184"/>
      <x:c r="BS106" s="184"/>
      <x:c r="BT106" s="184"/>
      <x:c r="BU106" s="184"/>
      <x:c r="BV106" s="184"/>
      <x:c r="BW106" s="184"/>
      <x:c r="BX106" s="184"/>
      <x:c r="BY106" s="185"/>
    </x:row>
    <x:row r="107" ht="16.5" customHeight="1">
      <x:c r="A107"/>
      <x:c r="B107" s="165"/>
      <x:c r="C107" s="170"/>
      <x:c r="D107" s="111" t="str">
        <x:v>엑셀 파일 열기·차트 편집·누락 자료 표시 검증</x:v>
      </x:c>
      <x:c r="E107" s="96" t="str">
        <x:v>검증</x:v>
      </x:c>
      <x:c r="F107" s="96" t="str">
        <x:v>조윤기</x:v>
      </x:c>
      <x:c r="G107" s="126" t="d">
        <x:v>2026-11-27T00:00:00.000Z</x:v>
      </x:c>
      <x:c r="H107" s="126" t="d">
        <x:v>2026-11-27T00:00:00.000Z</x:v>
      </x:c>
      <x:c r="I107" s="113" t="n">
        <x:f>IF(OR(G107="",H107=""),"",IF(H107&lt;G107,"일정확인",H107-G107+1))</x:f>
        <x:v>1</x:v>
      </x:c>
      <x:c r="J107" s="117" t="n">
        <x:v>0</x:v>
      </x:c>
      <x:c r="K107" s="96" t="str">
        <x:f>IF(ISNUMBER(J107),IF(J107=1,"완료",IF(J107=0,"미착수","진행중")),"")</x:f>
        <x:v>미착수</x:v>
      </x:c>
      <x:c r="L107" s="119" t="str">
        <x:v>파일검증표</x:v>
      </x:c>
      <x:c r="M107" s="119" t="str">
        <x:v>앱 엑셀 기능 검증 전</x:v>
      </x:c>
      <x:c r="N107" s="183"/>
      <x:c r="O107" s="184"/>
      <x:c r="P107" s="184"/>
      <x:c r="Q107" s="184"/>
      <x:c r="R107" s="184"/>
      <x:c r="S107" s="184"/>
      <x:c r="T107" s="184"/>
      <x:c r="U107" s="183"/>
      <x:c r="V107" s="184"/>
      <x:c r="W107" s="184"/>
      <x:c r="X107" s="184"/>
      <x:c r="Y107" s="184"/>
      <x:c r="Z107" s="184"/>
      <x:c r="AA107" s="184"/>
      <x:c r="AB107" s="184"/>
      <x:c r="AC107" s="184"/>
      <x:c r="AD107" s="184"/>
      <x:c r="AE107" s="184"/>
      <x:c r="AF107" s="184"/>
      <x:c r="AG107" s="184"/>
      <x:c r="AH107" s="184"/>
      <x:c r="AI107" s="184"/>
      <x:c r="AJ107" s="184"/>
      <x:c r="AK107" s="184"/>
      <x:c r="AL107" s="184"/>
      <x:c r="AM107" s="184"/>
      <x:c r="AN107" s="184"/>
      <x:c r="AO107" s="184"/>
      <x:c r="AP107" s="184"/>
      <x:c r="AQ107" s="184"/>
      <x:c r="AR107" s="184"/>
      <x:c r="AS107" s="184"/>
      <x:c r="AT107" s="184"/>
      <x:c r="AU107" s="184"/>
      <x:c r="AV107" s="184"/>
      <x:c r="AW107" s="184"/>
      <x:c r="AX107" s="184"/>
      <x:c r="AY107" s="184"/>
      <x:c r="AZ107" s="184"/>
      <x:c r="BA107" s="184"/>
      <x:c r="BB107" s="184"/>
      <x:c r="BC107" s="184"/>
      <x:c r="BD107" s="184"/>
      <x:c r="BE107" s="184"/>
      <x:c r="BF107" s="184"/>
      <x:c r="BG107" s="184"/>
      <x:c r="BH107" s="184"/>
      <x:c r="BI107" s="184"/>
      <x:c r="BJ107" s="184"/>
      <x:c r="BK107" s="184"/>
      <x:c r="BL107" s="184"/>
      <x:c r="BM107" s="184"/>
      <x:c r="BN107" s="184"/>
      <x:c r="BO107" s="184"/>
      <x:c r="BP107" s="184"/>
      <x:c r="BQ107" s="184"/>
      <x:c r="BR107" s="184"/>
      <x:c r="BS107" s="184"/>
      <x:c r="BT107" s="184"/>
      <x:c r="BU107" s="184"/>
      <x:c r="BV107" s="184"/>
      <x:c r="BW107" s="184"/>
      <x:c r="BX107" s="184"/>
      <x:c r="BY107" s="185"/>
    </x:row>
    <x:row r="108" ht="16.5" customHeight="1">
      <x:c r="A108"/>
      <x:c r="B108" s="165"/>
      <x:c r="C108" s="167" t="str">
        <x:v>AI 분석 결과 검증</x:v>
      </x:c>
      <x:c r="D108" s="143" t="str">
        <x:v>여러 테마의 후보 제안 형식과 중복 처리 검증</x:v>
      </x:c>
      <x:c r="E108" s="144" t="str">
        <x:v>검증</x:v>
      </x:c>
      <x:c r="F108" s="144" t="str">
        <x:v>김웅건</x:v>
      </x:c>
      <x:c r="G108" s="145" t="d">
        <x:v>2026-10-13T00:00:00.000Z</x:v>
      </x:c>
      <x:c r="H108" s="145" t="d">
        <x:v>2026-10-13T00:00:00.000Z</x:v>
      </x:c>
      <x:c r="I108" s="146" t="n">
        <x:f>IF(OR(G108="",H108=""),"",IF(H108&lt;G108,"일정확인",H108-G108+1))</x:f>
        <x:v>1</x:v>
      </x:c>
      <x:c r="J108" s="147" t="n">
        <x:v>1</x:v>
      </x:c>
      <x:c r="K108" s="144" t="str">
        <x:f>IF(ISNUMBER(J108),IF(J108=1,"완료",IF(J108=0,"미착수","진행중")),"")</x:f>
        <x:v>완료</x:v>
      </x:c>
      <x:c r="L108" s="148" t="str">
        <x:v>후보검증표</x:v>
      </x:c>
      <x:c r="M108" s="148" t="str">
        <x:v>모의응답 검증 완료</x:v>
      </x:c>
      <x:c r="N108" s="180"/>
      <x:c r="O108" s="181"/>
      <x:c r="P108" s="181"/>
      <x:c r="Q108" s="181"/>
      <x:c r="R108" s="181"/>
      <x:c r="S108" s="181"/>
      <x:c r="T108" s="181"/>
      <x:c r="U108" s="188"/>
      <x:c r="V108" s="181"/>
      <x:c r="W108" s="181"/>
      <x:c r="X108" s="181"/>
      <x:c r="Y108" s="181"/>
      <x:c r="Z108" s="181"/>
      <x:c r="AA108" s="181"/>
      <x:c r="AB108" s="181"/>
      <x:c r="AC108" s="181"/>
      <x:c r="AD108" s="181"/>
      <x:c r="AE108" s="181"/>
      <x:c r="AF108" s="181"/>
      <x:c r="AG108" s="181"/>
      <x:c r="AH108" s="181"/>
      <x:c r="AI108" s="181"/>
      <x:c r="AJ108" s="181"/>
      <x:c r="AK108" s="181"/>
      <x:c r="AL108" s="181"/>
      <x:c r="AM108" s="181"/>
      <x:c r="AN108" s="181"/>
      <x:c r="AO108" s="181"/>
      <x:c r="AP108" s="181"/>
      <x:c r="AQ108" s="181"/>
      <x:c r="AR108" s="181"/>
      <x:c r="AS108" s="181"/>
      <x:c r="AT108" s="181"/>
      <x:c r="AU108" s="181"/>
      <x:c r="AV108" s="181"/>
      <x:c r="AW108" s="181"/>
      <x:c r="AX108" s="181"/>
      <x:c r="AY108" s="181"/>
      <x:c r="AZ108" s="181"/>
      <x:c r="BA108" s="181"/>
      <x:c r="BB108" s="181"/>
      <x:c r="BC108" s="181"/>
      <x:c r="BD108" s="181"/>
      <x:c r="BE108" s="181"/>
      <x:c r="BF108" s="181"/>
      <x:c r="BG108" s="181"/>
      <x:c r="BH108" s="181"/>
      <x:c r="BI108" s="181"/>
      <x:c r="BJ108" s="181"/>
      <x:c r="BK108" s="181"/>
      <x:c r="BL108" s="181"/>
      <x:c r="BM108" s="181"/>
      <x:c r="BN108" s="181"/>
      <x:c r="BO108" s="181"/>
      <x:c r="BP108" s="181"/>
      <x:c r="BQ108" s="181"/>
      <x:c r="BR108" s="181"/>
      <x:c r="BS108" s="181"/>
      <x:c r="BT108" s="181"/>
      <x:c r="BU108" s="181"/>
      <x:c r="BV108" s="181"/>
      <x:c r="BW108" s="181"/>
      <x:c r="BX108" s="181"/>
      <x:c r="BY108" s="182"/>
    </x:row>
    <x:row r="109" ht="16.5" customHeight="1">
      <x:c r="A109"/>
      <x:c r="B109" s="165"/>
      <x:c r="C109" s="169"/>
      <x:c r="D109" s="111" t="str">
        <x:v>리포트 수치·종목명·뉴스 근거 일치 검증</x:v>
      </x:c>
      <x:c r="E109" s="96" t="str">
        <x:v>검증</x:v>
      </x:c>
      <x:c r="F109" s="96" t="str">
        <x:v>김웅건</x:v>
      </x:c>
      <x:c r="G109" s="126" t="d">
        <x:v>2026-10-13T00:00:00.000Z</x:v>
      </x:c>
      <x:c r="H109" s="126" t="d">
        <x:v>2026-10-13T00:00:00.000Z</x:v>
      </x:c>
      <x:c r="I109" s="113" t="n">
        <x:f>IF(OR(G109="",H109=""),"",IF(H109&lt;G109,"일정확인",H109-G109+1))</x:f>
        <x:v>1</x:v>
      </x:c>
      <x:c r="J109" s="117" t="n">
        <x:v>1</x:v>
      </x:c>
      <x:c r="K109" s="96" t="str">
        <x:f>IF(ISNUMBER(J109),IF(J109=1,"완료",IF(J109=0,"미착수","진행중")),"")</x:f>
        <x:v>완료</x:v>
      </x:c>
      <x:c r="L109" s="119" t="str">
        <x:v>근거검증표</x:v>
      </x:c>
      <x:c r="M109" s="119" t="str">
        <x:v>모의응답 검증 완료</x:v>
      </x:c>
      <x:c r="N109" s="183"/>
      <x:c r="O109" s="184"/>
      <x:c r="P109" s="184"/>
      <x:c r="Q109" s="184"/>
      <x:c r="R109" s="184"/>
      <x:c r="S109" s="184"/>
      <x:c r="T109" s="184"/>
      <x:c r="U109" s="189"/>
      <x:c r="V109" s="184"/>
      <x:c r="W109" s="184"/>
      <x:c r="X109" s="184"/>
      <x:c r="Y109" s="184"/>
      <x:c r="Z109" s="184"/>
      <x:c r="AA109" s="184"/>
      <x:c r="AB109" s="184"/>
      <x:c r="AC109" s="184"/>
      <x:c r="AD109" s="184"/>
      <x:c r="AE109" s="184"/>
      <x:c r="AF109" s="184"/>
      <x:c r="AG109" s="184"/>
      <x:c r="AH109" s="184"/>
      <x:c r="AI109" s="184"/>
      <x:c r="AJ109" s="184"/>
      <x:c r="AK109" s="184"/>
      <x:c r="AL109" s="184"/>
      <x:c r="AM109" s="184"/>
      <x:c r="AN109" s="184"/>
      <x:c r="AO109" s="184"/>
      <x:c r="AP109" s="184"/>
      <x:c r="AQ109" s="184"/>
      <x:c r="AR109" s="184"/>
      <x:c r="AS109" s="184"/>
      <x:c r="AT109" s="184"/>
      <x:c r="AU109" s="184"/>
      <x:c r="AV109" s="184"/>
      <x:c r="AW109" s="184"/>
      <x:c r="AX109" s="184"/>
      <x:c r="AY109" s="184"/>
      <x:c r="AZ109" s="184"/>
      <x:c r="BA109" s="184"/>
      <x:c r="BB109" s="184"/>
      <x:c r="BC109" s="184"/>
      <x:c r="BD109" s="184"/>
      <x:c r="BE109" s="184"/>
      <x:c r="BF109" s="184"/>
      <x:c r="BG109" s="184"/>
      <x:c r="BH109" s="184"/>
      <x:c r="BI109" s="184"/>
      <x:c r="BJ109" s="184"/>
      <x:c r="BK109" s="184"/>
      <x:c r="BL109" s="184"/>
      <x:c r="BM109" s="184"/>
      <x:c r="BN109" s="184"/>
      <x:c r="BO109" s="184"/>
      <x:c r="BP109" s="184"/>
      <x:c r="BQ109" s="184"/>
      <x:c r="BR109" s="184"/>
      <x:c r="BS109" s="184"/>
      <x:c r="BT109" s="184"/>
      <x:c r="BU109" s="184"/>
      <x:c r="BV109" s="184"/>
      <x:c r="BW109" s="184"/>
      <x:c r="BX109" s="184"/>
      <x:c r="BY109" s="185"/>
    </x:row>
    <x:row r="110" ht="16.5" customHeight="1">
      <x:c r="A110"/>
      <x:c r="B110" s="165"/>
      <x:c r="C110" s="169"/>
      <x:c r="D110" s="111" t="str">
        <x:v>자료 누락 상황의 설명 제한과 응답 처리 검증</x:v>
      </x:c>
      <x:c r="E110" s="96" t="str">
        <x:v>검증</x:v>
      </x:c>
      <x:c r="F110" s="96" t="str">
        <x:v>김웅건</x:v>
      </x:c>
      <x:c r="G110" s="126" t="d">
        <x:v>2026-10-13T00:00:00.000Z</x:v>
      </x:c>
      <x:c r="H110" s="126" t="d">
        <x:v>2026-10-13T00:00:00.000Z</x:v>
      </x:c>
      <x:c r="I110" s="113" t="n">
        <x:f>IF(OR(G110="",H110=""),"",IF(H110&lt;G110,"일정확인",H110-G110+1))</x:f>
        <x:v>1</x:v>
      </x:c>
      <x:c r="J110" s="117" t="n">
        <x:v>1</x:v>
      </x:c>
      <x:c r="K110" s="96" t="str">
        <x:f>IF(ISNUMBER(J110),IF(J110=1,"완료",IF(J110=0,"미착수","진행중")),"")</x:f>
        <x:v>완료</x:v>
      </x:c>
      <x:c r="L110" s="119" t="str">
        <x:v>누락검증표</x:v>
      </x:c>
      <x:c r="M110" s="119" t="str">
        <x:v>모의응답 검증 완료</x:v>
      </x:c>
      <x:c r="N110" s="183"/>
      <x:c r="O110" s="184"/>
      <x:c r="P110" s="184"/>
      <x:c r="Q110" s="184"/>
      <x:c r="R110" s="184"/>
      <x:c r="S110" s="184"/>
      <x:c r="T110" s="184"/>
      <x:c r="U110" s="189"/>
      <x:c r="V110" s="184"/>
      <x:c r="W110" s="184"/>
      <x:c r="X110" s="184"/>
      <x:c r="Y110" s="184"/>
      <x:c r="Z110" s="184"/>
      <x:c r="AA110" s="184"/>
      <x:c r="AB110" s="184"/>
      <x:c r="AC110" s="184"/>
      <x:c r="AD110" s="184"/>
      <x:c r="AE110" s="184"/>
      <x:c r="AF110" s="184"/>
      <x:c r="AG110" s="184"/>
      <x:c r="AH110" s="184"/>
      <x:c r="AI110" s="184"/>
      <x:c r="AJ110" s="184"/>
      <x:c r="AK110" s="184"/>
      <x:c r="AL110" s="184"/>
      <x:c r="AM110" s="184"/>
      <x:c r="AN110" s="184"/>
      <x:c r="AO110" s="184"/>
      <x:c r="AP110" s="184"/>
      <x:c r="AQ110" s="184"/>
      <x:c r="AR110" s="184"/>
      <x:c r="AS110" s="184"/>
      <x:c r="AT110" s="184"/>
      <x:c r="AU110" s="184"/>
      <x:c r="AV110" s="184"/>
      <x:c r="AW110" s="184"/>
      <x:c r="AX110" s="184"/>
      <x:c r="AY110" s="184"/>
      <x:c r="AZ110" s="184"/>
      <x:c r="BA110" s="184"/>
      <x:c r="BB110" s="184"/>
      <x:c r="BC110" s="184"/>
      <x:c r="BD110" s="184"/>
      <x:c r="BE110" s="184"/>
      <x:c r="BF110" s="184"/>
      <x:c r="BG110" s="184"/>
      <x:c r="BH110" s="184"/>
      <x:c r="BI110" s="184"/>
      <x:c r="BJ110" s="184"/>
      <x:c r="BK110" s="184"/>
      <x:c r="BL110" s="184"/>
      <x:c r="BM110" s="184"/>
      <x:c r="BN110" s="184"/>
      <x:c r="BO110" s="184"/>
      <x:c r="BP110" s="184"/>
      <x:c r="BQ110" s="184"/>
      <x:c r="BR110" s="184"/>
      <x:c r="BS110" s="184"/>
      <x:c r="BT110" s="184"/>
      <x:c r="BU110" s="184"/>
      <x:c r="BV110" s="184"/>
      <x:c r="BW110" s="184"/>
      <x:c r="BX110" s="184"/>
      <x:c r="BY110" s="185"/>
    </x:row>
    <x:row r="111" ht="16.5" customHeight="1">
      <x:c r="A111"/>
      <x:c r="B111" s="165"/>
      <x:c r="C111" s="170"/>
      <x:c r="D111" s="111" t="str">
        <x:v>뉴스·금융 자료에 근거한 설명 내용 검토</x:v>
      </x:c>
      <x:c r="E111" s="96" t="str">
        <x:v>검증</x:v>
      </x:c>
      <x:c r="F111" s="96" t="str">
        <x:v>김웅건</x:v>
      </x:c>
      <x:c r="G111" s="126" t="d">
        <x:v>2026-11-30T00:00:00.000Z</x:v>
      </x:c>
      <x:c r="H111" s="126" t="d">
        <x:v>2026-12-01T00:00:00.000Z</x:v>
      </x:c>
      <x:c r="I111" s="113" t="n">
        <x:f>IF(OR(G111="",H111=""),"",IF(H111&lt;G111,"일정확인",H111-G111+1))</x:f>
        <x:v>2</x:v>
      </x:c>
      <x:c r="J111" s="117" t="n">
        <x:v>0</x:v>
      </x:c>
      <x:c r="K111" s="96" t="str">
        <x:f>IF(ISNUMBER(J111),IF(J111=1,"완료",IF(J111=0,"미착수","진행중")),"")</x:f>
        <x:v>미착수</x:v>
      </x:c>
      <x:c r="L111" s="119" t="str">
        <x:v>내용검토표</x:v>
      </x:c>
      <x:c r="M111" s="119" t="str">
        <x:v>AI 설명 사실관계 미검토</x:v>
      </x:c>
      <x:c r="N111" s="183"/>
      <x:c r="O111" s="184"/>
      <x:c r="P111" s="184"/>
      <x:c r="Q111" s="184"/>
      <x:c r="R111" s="184"/>
      <x:c r="S111" s="184"/>
      <x:c r="T111" s="184"/>
      <x:c r="U111" s="183"/>
      <x:c r="V111" s="184"/>
      <x:c r="W111" s="184"/>
      <x:c r="X111" s="184"/>
      <x:c r="Y111" s="184"/>
      <x:c r="Z111" s="184"/>
      <x:c r="AA111" s="184"/>
      <x:c r="AB111" s="184"/>
      <x:c r="AC111" s="184"/>
      <x:c r="AD111" s="184"/>
      <x:c r="AE111" s="184"/>
      <x:c r="AF111" s="184"/>
      <x:c r="AG111" s="184"/>
      <x:c r="AH111" s="184"/>
      <x:c r="AI111" s="184"/>
      <x:c r="AJ111" s="184"/>
      <x:c r="AK111" s="184"/>
      <x:c r="AL111" s="184"/>
      <x:c r="AM111" s="184"/>
      <x:c r="AN111" s="184"/>
      <x:c r="AO111" s="184"/>
      <x:c r="AP111" s="184"/>
      <x:c r="AQ111" s="184"/>
      <x:c r="AR111" s="184"/>
      <x:c r="AS111" s="184"/>
      <x:c r="AT111" s="184"/>
      <x:c r="AU111" s="184"/>
      <x:c r="AV111" s="184"/>
      <x:c r="AW111" s="184"/>
      <x:c r="AX111" s="184"/>
      <x:c r="AY111" s="184"/>
      <x:c r="AZ111" s="184"/>
      <x:c r="BA111" s="184"/>
      <x:c r="BB111" s="184"/>
      <x:c r="BC111" s="184"/>
      <x:c r="BD111" s="184"/>
      <x:c r="BE111" s="184"/>
      <x:c r="BF111" s="184"/>
      <x:c r="BG111" s="184"/>
      <x:c r="BH111" s="184"/>
      <x:c r="BI111" s="184"/>
      <x:c r="BJ111" s="184"/>
      <x:c r="BK111" s="184"/>
      <x:c r="BL111" s="184"/>
      <x:c r="BM111" s="184"/>
      <x:c r="BN111" s="184"/>
      <x:c r="BO111" s="184"/>
      <x:c r="BP111" s="184"/>
      <x:c r="BQ111" s="184"/>
      <x:c r="BR111" s="184"/>
      <x:c r="BS111" s="184"/>
      <x:c r="BT111" s="184"/>
      <x:c r="BU111" s="184"/>
      <x:c r="BV111" s="184"/>
      <x:c r="BW111" s="184"/>
      <x:c r="BX111" s="184"/>
      <x:c r="BY111" s="185"/>
    </x:row>
    <x:row r="112" ht="16.5" customHeight="1">
      <x:c r="A112"/>
      <x:c r="B112" s="165"/>
      <x:c r="C112" s="167" t="str">
        <x:v>사용자 화면 및 전체 흐름 검증</x:v>
      </x:c>
      <x:c r="D112" s="143" t="str">
        <x:v>테마 입력부터 결과 표시까지 정상 흐름 검증</x:v>
      </x:c>
      <x:c r="E112" s="144" t="str">
        <x:v>검증</x:v>
      </x:c>
      <x:c r="F112" s="144" t="str">
        <x:v>김웅건</x:v>
      </x:c>
      <x:c r="G112" s="145" t="d">
        <x:v>2026-10-13T00:00:00.000Z</x:v>
      </x:c>
      <x:c r="H112" s="145" t="d">
        <x:v>2026-10-13T00:00:00.000Z</x:v>
      </x:c>
      <x:c r="I112" s="146" t="n">
        <x:f>IF(OR(G112="",H112=""),"",IF(H112&lt;G112,"일정확인",H112-G112+1))</x:f>
        <x:v>1</x:v>
      </x:c>
      <x:c r="J112" s="147" t="n">
        <x:v>1</x:v>
      </x:c>
      <x:c r="K112" s="144" t="str">
        <x:f>IF(ISNUMBER(J112),IF(J112=1,"완료",IF(J112=0,"미착수","진행중")),"")</x:f>
        <x:v>완료</x:v>
      </x:c>
      <x:c r="L112" s="148" t="str">
        <x:v>통합검증표</x:v>
      </x:c>
      <x:c r="M112" s="148" t="str">
        <x:v>모의응답 검증 완료</x:v>
      </x:c>
      <x:c r="N112" s="180"/>
      <x:c r="O112" s="181"/>
      <x:c r="P112" s="181"/>
      <x:c r="Q112" s="181"/>
      <x:c r="R112" s="181"/>
      <x:c r="S112" s="181"/>
      <x:c r="T112" s="181"/>
      <x:c r="U112" s="188"/>
      <x:c r="V112" s="181"/>
      <x:c r="W112" s="181"/>
      <x:c r="X112" s="181"/>
      <x:c r="Y112" s="181"/>
      <x:c r="Z112" s="181"/>
      <x:c r="AA112" s="181"/>
      <x:c r="AB112" s="181"/>
      <x:c r="AC112" s="181"/>
      <x:c r="AD112" s="181"/>
      <x:c r="AE112" s="181"/>
      <x:c r="AF112" s="181"/>
      <x:c r="AG112" s="181"/>
      <x:c r="AH112" s="181"/>
      <x:c r="AI112" s="181"/>
      <x:c r="AJ112" s="181"/>
      <x:c r="AK112" s="181"/>
      <x:c r="AL112" s="181"/>
      <x:c r="AM112" s="181"/>
      <x:c r="AN112" s="181"/>
      <x:c r="AO112" s="181"/>
      <x:c r="AP112" s="181"/>
      <x:c r="AQ112" s="181"/>
      <x:c r="AR112" s="181"/>
      <x:c r="AS112" s="181"/>
      <x:c r="AT112" s="181"/>
      <x:c r="AU112" s="181"/>
      <x:c r="AV112" s="181"/>
      <x:c r="AW112" s="181"/>
      <x:c r="AX112" s="181"/>
      <x:c r="AY112" s="181"/>
      <x:c r="AZ112" s="181"/>
      <x:c r="BA112" s="181"/>
      <x:c r="BB112" s="181"/>
      <x:c r="BC112" s="181"/>
      <x:c r="BD112" s="181"/>
      <x:c r="BE112" s="181"/>
      <x:c r="BF112" s="181"/>
      <x:c r="BG112" s="181"/>
      <x:c r="BH112" s="181"/>
      <x:c r="BI112" s="181"/>
      <x:c r="BJ112" s="181"/>
      <x:c r="BK112" s="181"/>
      <x:c r="BL112" s="181"/>
      <x:c r="BM112" s="181"/>
      <x:c r="BN112" s="181"/>
      <x:c r="BO112" s="181"/>
      <x:c r="BP112" s="181"/>
      <x:c r="BQ112" s="181"/>
      <x:c r="BR112" s="181"/>
      <x:c r="BS112" s="181"/>
      <x:c r="BT112" s="181"/>
      <x:c r="BU112" s="181"/>
      <x:c r="BV112" s="181"/>
      <x:c r="BW112" s="181"/>
      <x:c r="BX112" s="181"/>
      <x:c r="BY112" s="182"/>
    </x:row>
    <x:row r="113" ht="16.5" customHeight="1">
      <x:c r="A113"/>
      <x:c r="B113" s="165"/>
      <x:c r="C113" s="169"/>
      <x:c r="D113" s="111" t="str">
        <x:v>재입력·실패 후 재시도·결과 지우기 동작 검증</x:v>
      </x:c>
      <x:c r="E113" s="96" t="str">
        <x:v>검증</x:v>
      </x:c>
      <x:c r="F113" s="96" t="str">
        <x:v>김웅건</x:v>
      </x:c>
      <x:c r="G113" s="126" t="d">
        <x:v>2026-10-13T00:00:00.000Z</x:v>
      </x:c>
      <x:c r="H113" s="126" t="d">
        <x:v>2026-10-13T00:00:00.000Z</x:v>
      </x:c>
      <x:c r="I113" s="113" t="n">
        <x:f>IF(OR(G113="",H113=""),"",IF(H113&lt;G113,"일정확인",H113-G113+1))</x:f>
        <x:v>1</x:v>
      </x:c>
      <x:c r="J113" s="117" t="n">
        <x:v>1</x:v>
      </x:c>
      <x:c r="K113" s="96" t="str">
        <x:f>IF(ISNUMBER(J113),IF(J113=1,"완료",IF(J113=0,"미착수","진행중")),"")</x:f>
        <x:v>완료</x:v>
      </x:c>
      <x:c r="L113" s="119" t="str">
        <x:v>동작검증표</x:v>
      </x:c>
      <x:c r="M113" s="119" t="str">
        <x:v>모의응답 검증 완료</x:v>
      </x:c>
      <x:c r="N113" s="183"/>
      <x:c r="O113" s="184"/>
      <x:c r="P113" s="184"/>
      <x:c r="Q113" s="184"/>
      <x:c r="R113" s="184"/>
      <x:c r="S113" s="184"/>
      <x:c r="T113" s="184"/>
      <x:c r="U113" s="189"/>
      <x:c r="V113" s="184"/>
      <x:c r="W113" s="184"/>
      <x:c r="X113" s="184"/>
      <x:c r="Y113" s="184"/>
      <x:c r="Z113" s="184"/>
      <x:c r="AA113" s="184"/>
      <x:c r="AB113" s="184"/>
      <x:c r="AC113" s="184"/>
      <x:c r="AD113" s="184"/>
      <x:c r="AE113" s="184"/>
      <x:c r="AF113" s="184"/>
      <x:c r="AG113" s="184"/>
      <x:c r="AH113" s="184"/>
      <x:c r="AI113" s="184"/>
      <x:c r="AJ113" s="184"/>
      <x:c r="AK113" s="184"/>
      <x:c r="AL113" s="184"/>
      <x:c r="AM113" s="184"/>
      <x:c r="AN113" s="184"/>
      <x:c r="AO113" s="184"/>
      <x:c r="AP113" s="184"/>
      <x:c r="AQ113" s="184"/>
      <x:c r="AR113" s="184"/>
      <x:c r="AS113" s="184"/>
      <x:c r="AT113" s="184"/>
      <x:c r="AU113" s="184"/>
      <x:c r="AV113" s="184"/>
      <x:c r="AW113" s="184"/>
      <x:c r="AX113" s="184"/>
      <x:c r="AY113" s="184"/>
      <x:c r="AZ113" s="184"/>
      <x:c r="BA113" s="184"/>
      <x:c r="BB113" s="184"/>
      <x:c r="BC113" s="184"/>
      <x:c r="BD113" s="184"/>
      <x:c r="BE113" s="184"/>
      <x:c r="BF113" s="184"/>
      <x:c r="BG113" s="184"/>
      <x:c r="BH113" s="184"/>
      <x:c r="BI113" s="184"/>
      <x:c r="BJ113" s="184"/>
      <x:c r="BK113" s="184"/>
      <x:c r="BL113" s="184"/>
      <x:c r="BM113" s="184"/>
      <x:c r="BN113" s="184"/>
      <x:c r="BO113" s="184"/>
      <x:c r="BP113" s="184"/>
      <x:c r="BQ113" s="184"/>
      <x:c r="BR113" s="184"/>
      <x:c r="BS113" s="184"/>
      <x:c r="BT113" s="184"/>
      <x:c r="BU113" s="184"/>
      <x:c r="BV113" s="184"/>
      <x:c r="BW113" s="184"/>
      <x:c r="BX113" s="184"/>
      <x:c r="BY113" s="185"/>
    </x:row>
    <x:row r="114" ht="16.5" customHeight="1">
      <x:c r="A114"/>
      <x:c r="B114" s="165"/>
      <x:c r="C114" s="169"/>
      <x:c r="D114" s="111" t="str">
        <x:v>지표·재무제표·차트·뉴스·다운로드 화면 표시 검증</x:v>
      </x:c>
      <x:c r="E114" s="96" t="str">
        <x:v>검증</x:v>
      </x:c>
      <x:c r="F114" s="96" t="str">
        <x:v>김웅건</x:v>
      </x:c>
      <x:c r="G114" s="126" t="d">
        <x:v>2026-12-04T00:00:00.000Z</x:v>
      </x:c>
      <x:c r="H114" s="126" t="d">
        <x:v>2026-12-04T00:00:00.000Z</x:v>
      </x:c>
      <x:c r="I114" s="113" t="n">
        <x:f>IF(OR(G114="",H114=""),"",IF(H114&lt;G114,"일정확인",H114-G114+1))</x:f>
        <x:v>1</x:v>
      </x:c>
      <x:c r="J114" s="117"/>
      <x:c r="K114" s="96" t="str">
        <x:v>진행중</x:v>
      </x:c>
      <x:c r="L114" s="119" t="str">
        <x:v>표시검증표</x:v>
      </x:c>
      <x:c r="M114" s="119" t="str">
        <x:v>기본 화면만·확장 화면 전</x:v>
      </x:c>
      <x:c r="N114" s="183"/>
      <x:c r="O114" s="184"/>
      <x:c r="P114" s="184"/>
      <x:c r="Q114" s="184"/>
      <x:c r="R114" s="184"/>
      <x:c r="S114" s="184"/>
      <x:c r="T114" s="184"/>
      <x:c r="U114" s="183"/>
      <x:c r="V114" s="184"/>
      <x:c r="W114" s="184"/>
      <x:c r="X114" s="184"/>
      <x:c r="Y114" s="184"/>
      <x:c r="Z114" s="184"/>
      <x:c r="AA114" s="184"/>
      <x:c r="AB114" s="184"/>
      <x:c r="AC114" s="184"/>
      <x:c r="AD114" s="184"/>
      <x:c r="AE114" s="184"/>
      <x:c r="AF114" s="184"/>
      <x:c r="AG114" s="184"/>
      <x:c r="AH114" s="184"/>
      <x:c r="AI114" s="184"/>
      <x:c r="AJ114" s="184"/>
      <x:c r="AK114" s="184"/>
      <x:c r="AL114" s="184"/>
      <x:c r="AM114" s="184"/>
      <x:c r="AN114" s="184"/>
      <x:c r="AO114" s="184"/>
      <x:c r="AP114" s="184"/>
      <x:c r="AQ114" s="184"/>
      <x:c r="AR114" s="184"/>
      <x:c r="AS114" s="184"/>
      <x:c r="AT114" s="184"/>
      <x:c r="AU114" s="184"/>
      <x:c r="AV114" s="184"/>
      <x:c r="AW114" s="184"/>
      <x:c r="AX114" s="184"/>
      <x:c r="AY114" s="184"/>
      <x:c r="AZ114" s="184"/>
      <x:c r="BA114" s="184"/>
      <x:c r="BB114" s="184"/>
      <x:c r="BC114" s="184"/>
      <x:c r="BD114" s="184"/>
      <x:c r="BE114" s="184"/>
      <x:c r="BF114" s="184"/>
      <x:c r="BG114" s="184"/>
      <x:c r="BH114" s="184"/>
      <x:c r="BI114" s="184"/>
      <x:c r="BJ114" s="184"/>
      <x:c r="BK114" s="184"/>
      <x:c r="BL114" s="184"/>
      <x:c r="BM114" s="184"/>
      <x:c r="BN114" s="184"/>
      <x:c r="BO114" s="184"/>
      <x:c r="BP114" s="184"/>
      <x:c r="BQ114" s="184"/>
      <x:c r="BR114" s="184"/>
      <x:c r="BS114" s="184"/>
      <x:c r="BT114" s="184"/>
      <x:c r="BU114" s="184"/>
      <x:c r="BV114" s="184"/>
      <x:c r="BW114" s="184"/>
      <x:c r="BX114" s="184"/>
      <x:c r="BY114" s="185"/>
    </x:row>
    <x:row r="115" ht="16.5" customHeight="1">
      <x:c r="A115"/>
      <x:c r="B115" s="165"/>
      <x:c r="C115" s="170"/>
      <x:c r="D115" s="111" t="str">
        <x:v>화면 가독성과 분석 대기 안내 검토</x:v>
      </x:c>
      <x:c r="E115" s="96" t="str">
        <x:v>검증</x:v>
      </x:c>
      <x:c r="F115" s="96" t="str">
        <x:v>김웅건</x:v>
      </x:c>
      <x:c r="G115" s="126" t="d">
        <x:v>2026-12-05T00:00:00.000Z</x:v>
      </x:c>
      <x:c r="H115" s="126" t="d">
        <x:v>2026-12-05T00:00:00.000Z</x:v>
      </x:c>
      <x:c r="I115" s="113" t="n">
        <x:f>IF(OR(G115="",H115=""),"",IF(H115&lt;G115,"일정확인",H115-G115+1))</x:f>
        <x:v>1</x:v>
      </x:c>
      <x:c r="J115" s="117" t="n">
        <x:v>0</x:v>
      </x:c>
      <x:c r="K115" s="96" t="str">
        <x:f>IF(ISNUMBER(J115),IF(J115=1,"완료",IF(J115=0,"미착수","진행중")),"")</x:f>
        <x:v>미착수</x:v>
      </x:c>
      <x:c r="L115" s="119" t="str">
        <x:v>사용성기록</x:v>
      </x:c>
      <x:c r="M115" s="119" t="str">
        <x:v>실제 화면 가독성 미확인</x:v>
      </x:c>
      <x:c r="N115" s="183"/>
      <x:c r="O115" s="184"/>
      <x:c r="P115" s="184"/>
      <x:c r="Q115" s="184"/>
      <x:c r="R115" s="184"/>
      <x:c r="S115" s="184"/>
      <x:c r="T115" s="184"/>
      <x:c r="U115" s="183"/>
      <x:c r="V115" s="184"/>
      <x:c r="W115" s="184"/>
      <x:c r="X115" s="184"/>
      <x:c r="Y115" s="184"/>
      <x:c r="Z115" s="184"/>
      <x:c r="AA115" s="184"/>
      <x:c r="AB115" s="184"/>
      <x:c r="AC115" s="184"/>
      <x:c r="AD115" s="184"/>
      <x:c r="AE115" s="184"/>
      <x:c r="AF115" s="184"/>
      <x:c r="AG115" s="184"/>
      <x:c r="AH115" s="184"/>
      <x:c r="AI115" s="184"/>
      <x:c r="AJ115" s="184"/>
      <x:c r="AK115" s="184"/>
      <x:c r="AL115" s="184"/>
      <x:c r="AM115" s="184"/>
      <x:c r="AN115" s="184"/>
      <x:c r="AO115" s="184"/>
      <x:c r="AP115" s="184"/>
      <x:c r="AQ115" s="184"/>
      <x:c r="AR115" s="184"/>
      <x:c r="AS115" s="184"/>
      <x:c r="AT115" s="184"/>
      <x:c r="AU115" s="184"/>
      <x:c r="AV115" s="184"/>
      <x:c r="AW115" s="184"/>
      <x:c r="AX115" s="184"/>
      <x:c r="AY115" s="184"/>
      <x:c r="AZ115" s="184"/>
      <x:c r="BA115" s="184"/>
      <x:c r="BB115" s="184"/>
      <x:c r="BC115" s="184"/>
      <x:c r="BD115" s="184"/>
      <x:c r="BE115" s="184"/>
      <x:c r="BF115" s="184"/>
      <x:c r="BG115" s="184"/>
      <x:c r="BH115" s="184"/>
      <x:c r="BI115" s="184"/>
      <x:c r="BJ115" s="184"/>
      <x:c r="BK115" s="184"/>
      <x:c r="BL115" s="184"/>
      <x:c r="BM115" s="184"/>
      <x:c r="BN115" s="184"/>
      <x:c r="BO115" s="184"/>
      <x:c r="BP115" s="184"/>
      <x:c r="BQ115" s="184"/>
      <x:c r="BR115" s="184"/>
      <x:c r="BS115" s="184"/>
      <x:c r="BT115" s="184"/>
      <x:c r="BU115" s="184"/>
      <x:c r="BV115" s="184"/>
      <x:c r="BW115" s="184"/>
      <x:c r="BX115" s="184"/>
      <x:c r="BY115" s="185"/>
    </x:row>
    <x:row r="116" ht="16.5" customHeight="1">
      <x:c r="A116"/>
      <x:c r="B116" s="165"/>
      <x:c r="C116" s="170"/>
      <x:c r="D116" s="111" t="str">
        <x:v>종목 변경 후 차트·다운로드 파일 결과 일치 검증</x:v>
      </x:c>
      <x:c r="E116" s="96" t="str">
        <x:v>검증</x:v>
      </x:c>
      <x:c r="F116" s="96" t="str">
        <x:v>김웅건</x:v>
      </x:c>
      <x:c r="G116" s="126" t="d">
        <x:v>2026-12-05T00:00:00.000Z</x:v>
      </x:c>
      <x:c r="H116" s="126" t="d">
        <x:v>2026-12-05T00:00:00.000Z</x:v>
      </x:c>
      <x:c r="I116" s="113" t="n">
        <x:f>IF(OR(G116="",H116=""),"",IF(H116&lt;G116,"일정확인",H116-G116+1))</x:f>
        <x:v>1</x:v>
      </x:c>
      <x:c r="J116" s="117" t="n">
        <x:v>0</x:v>
      </x:c>
      <x:c r="K116" s="96" t="str">
        <x:f>IF(ISNUMBER(J116),IF(J116=1,"완료",IF(J116=0,"미착수","진행중")),"")</x:f>
        <x:v>미착수</x:v>
      </x:c>
      <x:c r="L116" s="119" t="str">
        <x:v>파일일치표</x:v>
      </x:c>
      <x:c r="M116" s="119" t="str">
        <x:v>분석 기능 확장</x:v>
      </x:c>
      <x:c r="N116" s="183"/>
      <x:c r="O116" s="184"/>
      <x:c r="P116" s="184"/>
      <x:c r="Q116" s="184"/>
      <x:c r="R116" s="184"/>
      <x:c r="S116" s="184"/>
      <x:c r="T116" s="184"/>
      <x:c r="U116" s="183"/>
      <x:c r="V116" s="184"/>
      <x:c r="W116" s="184"/>
      <x:c r="X116" s="184"/>
      <x:c r="Y116" s="184"/>
      <x:c r="Z116" s="184"/>
      <x:c r="AA116" s="184"/>
      <x:c r="AB116" s="184"/>
      <x:c r="AC116" s="184"/>
      <x:c r="AD116" s="184"/>
      <x:c r="AE116" s="184"/>
      <x:c r="AF116" s="184"/>
      <x:c r="AG116" s="184"/>
      <x:c r="AH116" s="184"/>
      <x:c r="AI116" s="184"/>
      <x:c r="AJ116" s="184"/>
      <x:c r="AK116" s="184"/>
      <x:c r="AL116" s="184"/>
      <x:c r="AM116" s="184"/>
      <x:c r="AN116" s="184"/>
      <x:c r="AO116" s="184"/>
      <x:c r="AP116" s="184"/>
      <x:c r="AQ116" s="184"/>
      <x:c r="AR116" s="184"/>
      <x:c r="AS116" s="184"/>
      <x:c r="AT116" s="184"/>
      <x:c r="AU116" s="184"/>
      <x:c r="AV116" s="184"/>
      <x:c r="AW116" s="184"/>
      <x:c r="AX116" s="184"/>
      <x:c r="AY116" s="184"/>
      <x:c r="AZ116" s="184"/>
      <x:c r="BA116" s="184"/>
      <x:c r="BB116" s="184"/>
      <x:c r="BC116" s="184"/>
      <x:c r="BD116" s="184"/>
      <x:c r="BE116" s="184"/>
      <x:c r="BF116" s="184"/>
      <x:c r="BG116" s="184"/>
      <x:c r="BH116" s="184"/>
      <x:c r="BI116" s="184"/>
      <x:c r="BJ116" s="184"/>
      <x:c r="BK116" s="184"/>
      <x:c r="BL116" s="184"/>
      <x:c r="BM116" s="184"/>
      <x:c r="BN116" s="184"/>
      <x:c r="BO116" s="184"/>
      <x:c r="BP116" s="184"/>
      <x:c r="BQ116" s="184"/>
      <x:c r="BR116" s="184"/>
      <x:c r="BS116" s="184"/>
      <x:c r="BT116" s="184"/>
      <x:c r="BU116" s="184"/>
      <x:c r="BV116" s="184"/>
      <x:c r="BW116" s="184"/>
      <x:c r="BX116" s="184"/>
      <x:c r="BY116" s="185"/>
    </x:row>
    <x:row r="117" ht="16.5" customHeight="1">
      <x:c r="A117"/>
      <x:c r="B117" s="165"/>
      <x:c r="C117" s="167" t="str">
        <x:v>외부 연동 및 실행 성능 검증</x:v>
      </x:c>
      <x:c r="D117" s="143" t="str">
        <x:v>실제 API 인증과 서비스별 응답 확인</x:v>
      </x:c>
      <x:c r="E117" s="144" t="str">
        <x:v>검증</x:v>
      </x:c>
      <x:c r="F117" s="144" t="str">
        <x:v>조윤기</x:v>
      </x:c>
      <x:c r="G117" s="145" t="d">
        <x:v>2026-11-25T00:00:00.000Z</x:v>
      </x:c>
      <x:c r="H117" s="145" t="d">
        <x:v>2026-11-27T00:00:00.000Z</x:v>
      </x:c>
      <x:c r="I117" s="146" t="n">
        <x:f>IF(OR(G117="",H117=""),"",IF(H117&lt;G117,"일정확인",H117-G117+1))</x:f>
        <x:v>3</x:v>
      </x:c>
      <x:c r="J117" s="147"/>
      <x:c r="K117" s="144" t="str">
        <x:v>진행중</x:v>
      </x:c>
      <x:c r="L117" s="148" t="str">
        <x:v>API확인표</x:v>
      </x:c>
      <x:c r="M117" s="148" t="str">
        <x:v>DART 예시만·전체 연동 전</x:v>
      </x:c>
      <x:c r="N117" s="180"/>
      <x:c r="O117" s="181"/>
      <x:c r="P117" s="181"/>
      <x:c r="Q117" s="181"/>
      <x:c r="R117" s="181"/>
      <x:c r="S117" s="181"/>
      <x:c r="T117" s="181"/>
      <x:c r="U117" s="180"/>
      <x:c r="V117" s="181"/>
      <x:c r="W117" s="181"/>
      <x:c r="X117" s="181"/>
      <x:c r="Y117" s="181"/>
      <x:c r="Z117" s="181"/>
      <x:c r="AA117" s="181"/>
      <x:c r="AB117" s="181"/>
      <x:c r="AC117" s="181"/>
      <x:c r="AD117" s="181"/>
      <x:c r="AE117" s="181"/>
      <x:c r="AF117" s="181"/>
      <x:c r="AG117" s="181"/>
      <x:c r="AH117" s="181"/>
      <x:c r="AI117" s="181"/>
      <x:c r="AJ117" s="181"/>
      <x:c r="AK117" s="181"/>
      <x:c r="AL117" s="181"/>
      <x:c r="AM117" s="181"/>
      <x:c r="AN117" s="181"/>
      <x:c r="AO117" s="181"/>
      <x:c r="AP117" s="181"/>
      <x:c r="AQ117" s="181"/>
      <x:c r="AR117" s="181"/>
      <x:c r="AS117" s="181"/>
      <x:c r="AT117" s="181"/>
      <x:c r="AU117" s="181"/>
      <x:c r="AV117" s="181"/>
      <x:c r="AW117" s="181"/>
      <x:c r="AX117" s="181"/>
      <x:c r="AY117" s="181"/>
      <x:c r="AZ117" s="181"/>
      <x:c r="BA117" s="181"/>
      <x:c r="BB117" s="181"/>
      <x:c r="BC117" s="181"/>
      <x:c r="BD117" s="181"/>
      <x:c r="BE117" s="181"/>
      <x:c r="BF117" s="181"/>
      <x:c r="BG117" s="181"/>
      <x:c r="BH117" s="181"/>
      <x:c r="BI117" s="181"/>
      <x:c r="BJ117" s="181"/>
      <x:c r="BK117" s="181"/>
      <x:c r="BL117" s="181"/>
      <x:c r="BM117" s="181"/>
      <x:c r="BN117" s="181"/>
      <x:c r="BO117" s="181"/>
      <x:c r="BP117" s="181"/>
      <x:c r="BQ117" s="181"/>
      <x:c r="BR117" s="181"/>
      <x:c r="BS117" s="181"/>
      <x:c r="BT117" s="181"/>
      <x:c r="BU117" s="181"/>
      <x:c r="BV117" s="181"/>
      <x:c r="BW117" s="181"/>
      <x:c r="BX117" s="181"/>
      <x:c r="BY117" s="182"/>
    </x:row>
    <x:row r="118" ht="16.5" customHeight="1">
      <x:c r="A118"/>
      <x:c r="B118" s="165"/>
      <x:c r="C118" s="169"/>
      <x:c r="D118" s="111" t="str">
        <x:v>데이터 수집 구간의 응답 시간 측정</x:v>
      </x:c>
      <x:c r="E118" s="96" t="str">
        <x:v>검증</x:v>
      </x:c>
      <x:c r="F118" s="96" t="str">
        <x:v>조윤기</x:v>
      </x:c>
      <x:c r="G118" s="126" t="d">
        <x:v>2026-12-02T00:00:00.000Z</x:v>
      </x:c>
      <x:c r="H118" s="126" t="d">
        <x:v>2026-12-02T00:00:00.000Z</x:v>
      </x:c>
      <x:c r="I118" s="113" t="n">
        <x:f>IF(OR(G118="",H118=""),"",IF(H118&lt;G118,"일정확인",H118-G118+1))</x:f>
        <x:v>1</x:v>
      </x:c>
      <x:c r="J118" s="117" t="n">
        <x:v>0</x:v>
      </x:c>
      <x:c r="K118" s="96" t="str">
        <x:f>IF(ISNUMBER(J118),IF(J118=1,"완료",IF(J118=0,"미착수","진행중")),"")</x:f>
        <x:v>미착수</x:v>
      </x:c>
      <x:c r="L118" s="119" t="str">
        <x:v>응답시간표</x:v>
      </x:c>
      <x:c r="M118" s="119" t="str">
        <x:v>실제 응답시간 미측정</x:v>
      </x:c>
      <x:c r="N118" s="183"/>
      <x:c r="O118" s="184"/>
      <x:c r="P118" s="184"/>
      <x:c r="Q118" s="184"/>
      <x:c r="R118" s="184"/>
      <x:c r="S118" s="184"/>
      <x:c r="T118" s="184"/>
      <x:c r="U118" s="183"/>
      <x:c r="V118" s="184"/>
      <x:c r="W118" s="184"/>
      <x:c r="X118" s="184"/>
      <x:c r="Y118" s="184"/>
      <x:c r="Z118" s="184"/>
      <x:c r="AA118" s="184"/>
      <x:c r="AB118" s="184"/>
      <x:c r="AC118" s="184"/>
      <x:c r="AD118" s="184"/>
      <x:c r="AE118" s="184"/>
      <x:c r="AF118" s="184"/>
      <x:c r="AG118" s="184"/>
      <x:c r="AH118" s="184"/>
      <x:c r="AI118" s="184"/>
      <x:c r="AJ118" s="184"/>
      <x:c r="AK118" s="184"/>
      <x:c r="AL118" s="184"/>
      <x:c r="AM118" s="184"/>
      <x:c r="AN118" s="184"/>
      <x:c r="AO118" s="184"/>
      <x:c r="AP118" s="184"/>
      <x:c r="AQ118" s="184"/>
      <x:c r="AR118" s="184"/>
      <x:c r="AS118" s="184"/>
      <x:c r="AT118" s="184"/>
      <x:c r="AU118" s="184"/>
      <x:c r="AV118" s="184"/>
      <x:c r="AW118" s="184"/>
      <x:c r="AX118" s="184"/>
      <x:c r="AY118" s="184"/>
      <x:c r="AZ118" s="184"/>
      <x:c r="BA118" s="184"/>
      <x:c r="BB118" s="184"/>
      <x:c r="BC118" s="184"/>
      <x:c r="BD118" s="184"/>
      <x:c r="BE118" s="184"/>
      <x:c r="BF118" s="184"/>
      <x:c r="BG118" s="184"/>
      <x:c r="BH118" s="184"/>
      <x:c r="BI118" s="184"/>
      <x:c r="BJ118" s="184"/>
      <x:c r="BK118" s="184"/>
      <x:c r="BL118" s="184"/>
      <x:c r="BM118" s="184"/>
      <x:c r="BN118" s="184"/>
      <x:c r="BO118" s="184"/>
      <x:c r="BP118" s="184"/>
      <x:c r="BQ118" s="184"/>
      <x:c r="BR118" s="184"/>
      <x:c r="BS118" s="184"/>
      <x:c r="BT118" s="184"/>
      <x:c r="BU118" s="184"/>
      <x:c r="BV118" s="184"/>
      <x:c r="BW118" s="184"/>
      <x:c r="BX118" s="184"/>
      <x:c r="BY118" s="185"/>
    </x:row>
    <x:row r="119" ht="16.5" customHeight="1">
      <x:c r="A119"/>
      <x:c r="B119" s="166"/>
      <x:c r="C119" s="170"/>
      <x:c r="D119" s="111" t="str">
        <x:v>반복 요청 시 실패·제한·누락 발생 여부 확인</x:v>
      </x:c>
      <x:c r="E119" s="96" t="str">
        <x:v>검증</x:v>
      </x:c>
      <x:c r="F119" s="96" t="str">
        <x:v>조윤기</x:v>
      </x:c>
      <x:c r="G119" s="126" t="d">
        <x:v>2026-12-03T00:00:00.000Z</x:v>
      </x:c>
      <x:c r="H119" s="126" t="d">
        <x:v>2026-12-03T00:00:00.000Z</x:v>
      </x:c>
      <x:c r="I119" s="113" t="n">
        <x:f>IF(OR(G119="",H119=""),"",IF(H119&lt;G119,"일정확인",H119-G119+1))</x:f>
        <x:v>1</x:v>
      </x:c>
      <x:c r="J119" s="117" t="n">
        <x:v>0</x:v>
      </x:c>
      <x:c r="K119" s="96" t="str">
        <x:f>IF(ISNUMBER(J119),IF(J119=1,"완료",IF(J119=0,"미착수","진행중")),"")</x:f>
        <x:v>미착수</x:v>
      </x:c>
      <x:c r="L119" s="119" t="str">
        <x:v>반복검증표</x:v>
      </x:c>
      <x:c r="M119" s="119" t="str">
        <x:v>실제 반복요청 미확인</x:v>
      </x:c>
      <x:c r="N119" s="183"/>
      <x:c r="O119" s="184"/>
      <x:c r="P119" s="184"/>
      <x:c r="Q119" s="184"/>
      <x:c r="R119" s="184"/>
      <x:c r="S119" s="184"/>
      <x:c r="T119" s="184"/>
      <x:c r="U119" s="183"/>
      <x:c r="V119" s="184"/>
      <x:c r="W119" s="184"/>
      <x:c r="X119" s="184"/>
      <x:c r="Y119" s="184"/>
      <x:c r="Z119" s="184"/>
      <x:c r="AA119" s="184"/>
      <x:c r="AB119" s="184"/>
      <x:c r="AC119" s="184"/>
      <x:c r="AD119" s="184"/>
      <x:c r="AE119" s="184"/>
      <x:c r="AF119" s="184"/>
      <x:c r="AG119" s="184"/>
      <x:c r="AH119" s="184"/>
      <x:c r="AI119" s="184"/>
      <x:c r="AJ119" s="184"/>
      <x:c r="AK119" s="184"/>
      <x:c r="AL119" s="184"/>
      <x:c r="AM119" s="184"/>
      <x:c r="AN119" s="184"/>
      <x:c r="AO119" s="184"/>
      <x:c r="AP119" s="184"/>
      <x:c r="AQ119" s="184"/>
      <x:c r="AR119" s="184"/>
      <x:c r="AS119" s="184"/>
      <x:c r="AT119" s="184"/>
      <x:c r="AU119" s="184"/>
      <x:c r="AV119" s="184"/>
      <x:c r="AW119" s="184"/>
      <x:c r="AX119" s="184"/>
      <x:c r="AY119" s="184"/>
      <x:c r="AZ119" s="184"/>
      <x:c r="BA119" s="184"/>
      <x:c r="BB119" s="184"/>
      <x:c r="BC119" s="184"/>
      <x:c r="BD119" s="184"/>
      <x:c r="BE119" s="184"/>
      <x:c r="BF119" s="184"/>
      <x:c r="BG119" s="184"/>
      <x:c r="BH119" s="184"/>
      <x:c r="BI119" s="184"/>
      <x:c r="BJ119" s="184"/>
      <x:c r="BK119" s="184"/>
      <x:c r="BL119" s="184"/>
      <x:c r="BM119" s="184"/>
      <x:c r="BN119" s="184"/>
      <x:c r="BO119" s="184"/>
      <x:c r="BP119" s="184"/>
      <x:c r="BQ119" s="184"/>
      <x:c r="BR119" s="184"/>
      <x:c r="BS119" s="184"/>
      <x:c r="BT119" s="184"/>
      <x:c r="BU119" s="184"/>
      <x:c r="BV119" s="184"/>
      <x:c r="BW119" s="184"/>
      <x:c r="BX119" s="184"/>
      <x:c r="BY119" s="185"/>
    </x:row>
    <x:row r="120" ht="16.5" customHeight="1">
      <x:c r="A120"/>
      <x:c r="B120" s="164" t="str">
        <x:v>문서화 및 최종 시연</x:v>
      </x:c>
      <x:c r="C120" s="167" t="str">
        <x:v>데이터 및 실행 문서 작성</x:v>
      </x:c>
      <x:c r="D120" s="143" t="str">
        <x:v>사용 API와 데이터 항목·출처 설명서 작성</x:v>
      </x:c>
      <x:c r="E120" s="144" t="str">
        <x:v>문서</x:v>
      </x:c>
      <x:c r="F120" s="144" t="str">
        <x:v>조윤기</x:v>
      </x:c>
      <x:c r="G120" s="145" t="d">
        <x:v>2026-10-14T00:00:00.000Z</x:v>
      </x:c>
      <x:c r="H120" s="145" t="d">
        <x:v>2026-10-14T00:00:00.000Z</x:v>
      </x:c>
      <x:c r="I120" s="146" t="n">
        <x:f>IF(OR(G120="",H120=""),"",IF(H120&lt;G120,"일정확인",H120-G120+1))</x:f>
        <x:v>1</x:v>
      </x:c>
      <x:c r="J120" s="147" t="n">
        <x:v>1</x:v>
      </x:c>
      <x:c r="K120" s="144" t="str">
        <x:f>IF(ISNUMBER(J120),IF(J120=1,"완료",IF(J120=0,"미착수","진행중")),"")</x:f>
        <x:v>완료</x:v>
      </x:c>
      <x:c r="L120" s="148" t="str">
        <x:v>API설명서</x:v>
      </x:c>
      <x:c r="M120" s="148" t="str">
        <x:v>API·항목·출처 정리 완료</x:v>
      </x:c>
      <x:c r="N120" s="180"/>
      <x:c r="O120" s="181"/>
      <x:c r="P120" s="181"/>
      <x:c r="Q120" s="181"/>
      <x:c r="R120" s="181"/>
      <x:c r="S120" s="181"/>
      <x:c r="T120" s="181"/>
      <x:c r="U120" s="180"/>
      <x:c r="V120" s="190"/>
      <x:c r="W120" s="181"/>
      <x:c r="X120" s="181"/>
      <x:c r="Y120" s="181"/>
      <x:c r="Z120" s="181"/>
      <x:c r="AA120" s="181"/>
      <x:c r="AB120" s="181"/>
      <x:c r="AC120" s="181"/>
      <x:c r="AD120" s="181"/>
      <x:c r="AE120" s="181"/>
      <x:c r="AF120" s="181"/>
      <x:c r="AG120" s="181"/>
      <x:c r="AH120" s="181"/>
      <x:c r="AI120" s="181"/>
      <x:c r="AJ120" s="181"/>
      <x:c r="AK120" s="181"/>
      <x:c r="AL120" s="181"/>
      <x:c r="AM120" s="181"/>
      <x:c r="AN120" s="181"/>
      <x:c r="AO120" s="181"/>
      <x:c r="AP120" s="181"/>
      <x:c r="AQ120" s="181"/>
      <x:c r="AR120" s="181"/>
      <x:c r="AS120" s="181"/>
      <x:c r="AT120" s="181"/>
      <x:c r="AU120" s="181"/>
      <x:c r="AV120" s="181"/>
      <x:c r="AW120" s="181"/>
      <x:c r="AX120" s="181"/>
      <x:c r="AY120" s="181"/>
      <x:c r="AZ120" s="181"/>
      <x:c r="BA120" s="181"/>
      <x:c r="BB120" s="181"/>
      <x:c r="BC120" s="181"/>
      <x:c r="BD120" s="181"/>
      <x:c r="BE120" s="181"/>
      <x:c r="BF120" s="181"/>
      <x:c r="BG120" s="181"/>
      <x:c r="BH120" s="181"/>
      <x:c r="BI120" s="181"/>
      <x:c r="BJ120" s="181"/>
      <x:c r="BK120" s="181"/>
      <x:c r="BL120" s="181"/>
      <x:c r="BM120" s="181"/>
      <x:c r="BN120" s="181"/>
      <x:c r="BO120" s="181"/>
      <x:c r="BP120" s="181"/>
      <x:c r="BQ120" s="181"/>
      <x:c r="BR120" s="181"/>
      <x:c r="BS120" s="181"/>
      <x:c r="BT120" s="181"/>
      <x:c r="BU120" s="181"/>
      <x:c r="BV120" s="181"/>
      <x:c r="BW120" s="181"/>
      <x:c r="BX120" s="181"/>
      <x:c r="BY120" s="182"/>
    </x:row>
    <x:row r="121" ht="16.5" customHeight="1">
      <x:c r="A121"/>
      <x:c r="B121" s="165"/>
      <x:c r="C121" s="169"/>
      <x:c r="D121" s="111" t="str">
        <x:v>패키지 설치·환경 설정·프로그램 실행 안내 작성</x:v>
      </x:c>
      <x:c r="E121" s="96" t="str">
        <x:v>문서</x:v>
      </x:c>
      <x:c r="F121" s="96" t="str">
        <x:v>조윤기</x:v>
      </x:c>
      <x:c r="G121" s="126" t="d">
        <x:v>2026-10-13T00:00:00.000Z</x:v>
      </x:c>
      <x:c r="H121" s="126" t="d">
        <x:v>2026-10-13T00:00:00.000Z</x:v>
      </x:c>
      <x:c r="I121" s="113" t="n">
        <x:f>IF(OR(G121="",H121=""),"",IF(H121&lt;G121,"일정확인",H121-G121+1))</x:f>
        <x:v>1</x:v>
      </x:c>
      <x:c r="J121" s="117" t="n">
        <x:v>1</x:v>
      </x:c>
      <x:c r="K121" s="96" t="str">
        <x:f>IF(ISNUMBER(J121),IF(J121=1,"완료",IF(J121=0,"미착수","진행중")),"")</x:f>
        <x:v>완료</x:v>
      </x:c>
      <x:c r="L121" s="119" t="str">
        <x:v>실행안내서</x:v>
      </x:c>
      <x:c r="M121" s="119" t="str">
        <x:v>설치·실행·시연 안내 작성</x:v>
      </x:c>
      <x:c r="N121" s="183"/>
      <x:c r="O121" s="184"/>
      <x:c r="P121" s="184"/>
      <x:c r="Q121" s="184"/>
      <x:c r="R121" s="184"/>
      <x:c r="S121" s="184"/>
      <x:c r="T121" s="184"/>
      <x:c r="U121" s="193"/>
      <x:c r="V121" s="184"/>
      <x:c r="W121" s="184"/>
      <x:c r="X121" s="184"/>
      <x:c r="Y121" s="184"/>
      <x:c r="Z121" s="184"/>
      <x:c r="AA121" s="184"/>
      <x:c r="AB121" s="184"/>
      <x:c r="AC121" s="184"/>
      <x:c r="AD121" s="184"/>
      <x:c r="AE121" s="184"/>
      <x:c r="AF121" s="184"/>
      <x:c r="AG121" s="184"/>
      <x:c r="AH121" s="184"/>
      <x:c r="AI121" s="184"/>
      <x:c r="AJ121" s="184"/>
      <x:c r="AK121" s="184"/>
      <x:c r="AL121" s="184"/>
      <x:c r="AM121" s="184"/>
      <x:c r="AN121" s="184"/>
      <x:c r="AO121" s="184"/>
      <x:c r="AP121" s="184"/>
      <x:c r="AQ121" s="184"/>
      <x:c r="AR121" s="184"/>
      <x:c r="AS121" s="184"/>
      <x:c r="AT121" s="184"/>
      <x:c r="AU121" s="184"/>
      <x:c r="AV121" s="184"/>
      <x:c r="AW121" s="184"/>
      <x:c r="AX121" s="184"/>
      <x:c r="AY121" s="184"/>
      <x:c r="AZ121" s="184"/>
      <x:c r="BA121" s="184"/>
      <x:c r="BB121" s="184"/>
      <x:c r="BC121" s="184"/>
      <x:c r="BD121" s="184"/>
      <x:c r="BE121" s="184"/>
      <x:c r="BF121" s="184"/>
      <x:c r="BG121" s="184"/>
      <x:c r="BH121" s="184"/>
      <x:c r="BI121" s="184"/>
      <x:c r="BJ121" s="184"/>
      <x:c r="BK121" s="184"/>
      <x:c r="BL121" s="184"/>
      <x:c r="BM121" s="184"/>
      <x:c r="BN121" s="184"/>
      <x:c r="BO121" s="184"/>
      <x:c r="BP121" s="184"/>
      <x:c r="BQ121" s="184"/>
      <x:c r="BR121" s="184"/>
      <x:c r="BS121" s="184"/>
      <x:c r="BT121" s="184"/>
      <x:c r="BU121" s="184"/>
      <x:c r="BV121" s="184"/>
      <x:c r="BW121" s="184"/>
      <x:c r="BX121" s="184"/>
      <x:c r="BY121" s="185"/>
    </x:row>
    <x:row r="122" ht="16.5" customHeight="1">
      <x:c r="A122"/>
      <x:c r="B122" s="165"/>
      <x:c r="C122" s="170"/>
      <x:c r="D122" s="111" t="str">
        <x:v>데이터 수집 및 외부 연동 검증 결과표 작성</x:v>
      </x:c>
      <x:c r="E122" s="96" t="str">
        <x:v>문서</x:v>
      </x:c>
      <x:c r="F122" s="96" t="str">
        <x:v>조윤기</x:v>
      </x:c>
      <x:c r="G122" s="126" t="d">
        <x:v>2026-12-04T00:00:00.000Z</x:v>
      </x:c>
      <x:c r="H122" s="126" t="d">
        <x:v>2026-12-04T00:00:00.000Z</x:v>
      </x:c>
      <x:c r="I122" s="113" t="n">
        <x:f>IF(OR(G122="",H122=""),"",IF(H122&lt;G122,"일정확인",H122-G122+1))</x:f>
        <x:v>1</x:v>
      </x:c>
      <x:c r="J122" s="117"/>
      <x:c r="K122" s="96" t="str">
        <x:v>진행중</x:v>
      </x:c>
      <x:c r="L122" s="119" t="str">
        <x:v>검증기록서</x:v>
      </x:c>
      <x:c r="M122" s="119" t="str">
        <x:v>로컬 기록만·실연동 결과 전</x:v>
      </x:c>
      <x:c r="N122" s="183"/>
      <x:c r="O122" s="184"/>
      <x:c r="P122" s="184"/>
      <x:c r="Q122" s="184"/>
      <x:c r="R122" s="184"/>
      <x:c r="S122" s="184"/>
      <x:c r="T122" s="184"/>
      <x:c r="U122" s="183"/>
      <x:c r="V122" s="184"/>
      <x:c r="W122" s="184"/>
      <x:c r="X122" s="184"/>
      <x:c r="Y122" s="184"/>
      <x:c r="Z122" s="184"/>
      <x:c r="AA122" s="184"/>
      <x:c r="AB122" s="184"/>
      <x:c r="AC122" s="184"/>
      <x:c r="AD122" s="184"/>
      <x:c r="AE122" s="184"/>
      <x:c r="AF122" s="184"/>
      <x:c r="AG122" s="184"/>
      <x:c r="AH122" s="184"/>
      <x:c r="AI122" s="184"/>
      <x:c r="AJ122" s="184"/>
      <x:c r="AK122" s="184"/>
      <x:c r="AL122" s="184"/>
      <x:c r="AM122" s="184"/>
      <x:c r="AN122" s="184"/>
      <x:c r="AO122" s="184"/>
      <x:c r="AP122" s="184"/>
      <x:c r="AQ122" s="184"/>
      <x:c r="AR122" s="184"/>
      <x:c r="AS122" s="184"/>
      <x:c r="AT122" s="184"/>
      <x:c r="AU122" s="184"/>
      <x:c r="AV122" s="184"/>
      <x:c r="AW122" s="184"/>
      <x:c r="AX122" s="184"/>
      <x:c r="AY122" s="184"/>
      <x:c r="AZ122" s="184"/>
      <x:c r="BA122" s="184"/>
      <x:c r="BB122" s="184"/>
      <x:c r="BC122" s="184"/>
      <x:c r="BD122" s="184"/>
      <x:c r="BE122" s="184"/>
      <x:c r="BF122" s="184"/>
      <x:c r="BG122" s="184"/>
      <x:c r="BH122" s="184"/>
      <x:c r="BI122" s="184"/>
      <x:c r="BJ122" s="184"/>
      <x:c r="BK122" s="184"/>
      <x:c r="BL122" s="184"/>
      <x:c r="BM122" s="184"/>
      <x:c r="BN122" s="184"/>
      <x:c r="BO122" s="184"/>
      <x:c r="BP122" s="184"/>
      <x:c r="BQ122" s="184"/>
      <x:c r="BR122" s="184"/>
      <x:c r="BS122" s="184"/>
      <x:c r="BT122" s="184"/>
      <x:c r="BU122" s="184"/>
      <x:c r="BV122" s="184"/>
      <x:c r="BW122" s="184"/>
      <x:c r="BX122" s="184"/>
      <x:c r="BY122" s="185"/>
    </x:row>
    <x:row r="123" ht="16.5" customHeight="1">
      <x:c r="A123"/>
      <x:c r="B123" s="165"/>
      <x:c r="C123" s="167" t="str">
        <x:v>기획서 및 구현 결과 정리</x:v>
      </x:c>
      <x:c r="D123" s="143" t="str">
        <x:v>서비스 흐름도·아키텍처·화면 설계도 정리</x:v>
      </x:c>
      <x:c r="E123" s="144" t="str">
        <x:v>문서</x:v>
      </x:c>
      <x:c r="F123" s="144" t="str">
        <x:v>김웅건</x:v>
      </x:c>
      <x:c r="G123" s="145" t="d">
        <x:v>2026-11-24T00:00:00.000Z</x:v>
      </x:c>
      <x:c r="H123" s="145" t="d">
        <x:v>2026-11-25T00:00:00.000Z</x:v>
      </x:c>
      <x:c r="I123" s="146" t="n">
        <x:f>IF(OR(G123="",H123=""),"",IF(H123&lt;G123,"일정확인",H123-G123+1))</x:f>
        <x:v>2</x:v>
      </x:c>
      <x:c r="J123" s="147"/>
      <x:c r="K123" s="144" t="str">
        <x:v>진행중</x:v>
      </x:c>
      <x:c r="L123" s="148" t="str">
        <x:v>설계도모음</x:v>
      </x:c>
      <x:c r="M123" s="148" t="str">
        <x:v>기획서 초안·최종 정리 전</x:v>
      </x:c>
      <x:c r="N123" s="180"/>
      <x:c r="O123" s="181"/>
      <x:c r="P123" s="181"/>
      <x:c r="Q123" s="181"/>
      <x:c r="R123" s="181"/>
      <x:c r="S123" s="181"/>
      <x:c r="T123" s="181"/>
      <x:c r="U123" s="180"/>
      <x:c r="V123" s="181"/>
      <x:c r="W123" s="181"/>
      <x:c r="X123" s="181"/>
      <x:c r="Y123" s="181"/>
      <x:c r="Z123" s="181"/>
      <x:c r="AA123" s="181"/>
      <x:c r="AB123" s="181"/>
      <x:c r="AC123" s="181"/>
      <x:c r="AD123" s="181"/>
      <x:c r="AE123" s="181"/>
      <x:c r="AF123" s="181"/>
      <x:c r="AG123" s="181"/>
      <x:c r="AH123" s="181"/>
      <x:c r="AI123" s="181"/>
      <x:c r="AJ123" s="181"/>
      <x:c r="AK123" s="181"/>
      <x:c r="AL123" s="181"/>
      <x:c r="AM123" s="181"/>
      <x:c r="AN123" s="181"/>
      <x:c r="AO123" s="181"/>
      <x:c r="AP123" s="181"/>
      <x:c r="AQ123" s="181"/>
      <x:c r="AR123" s="181"/>
      <x:c r="AS123" s="181"/>
      <x:c r="AT123" s="181"/>
      <x:c r="AU123" s="181"/>
      <x:c r="AV123" s="181"/>
      <x:c r="AW123" s="181"/>
      <x:c r="AX123" s="181"/>
      <x:c r="AY123" s="181"/>
      <x:c r="AZ123" s="181"/>
      <x:c r="BA123" s="181"/>
      <x:c r="BB123" s="181"/>
      <x:c r="BC123" s="181"/>
      <x:c r="BD123" s="181"/>
      <x:c r="BE123" s="181"/>
      <x:c r="BF123" s="181"/>
      <x:c r="BG123" s="181"/>
      <x:c r="BH123" s="181"/>
      <x:c r="BI123" s="181"/>
      <x:c r="BJ123" s="181"/>
      <x:c r="BK123" s="181"/>
      <x:c r="BL123" s="181"/>
      <x:c r="BM123" s="181"/>
      <x:c r="BN123" s="181"/>
      <x:c r="BO123" s="181"/>
      <x:c r="BP123" s="181"/>
      <x:c r="BQ123" s="181"/>
      <x:c r="BR123" s="181"/>
      <x:c r="BS123" s="181"/>
      <x:c r="BT123" s="181"/>
      <x:c r="BU123" s="181"/>
      <x:c r="BV123" s="181"/>
      <x:c r="BW123" s="181"/>
      <x:c r="BX123" s="181"/>
      <x:c r="BY123" s="182"/>
    </x:row>
    <x:row r="124" ht="16.5" customHeight="1">
      <x:c r="A124"/>
      <x:c r="B124" s="165"/>
      <x:c r="C124" s="169"/>
      <x:c r="D124" s="111" t="str">
        <x:v>실제 구현 화면과 기능 설명 작성</x:v>
      </x:c>
      <x:c r="E124" s="96" t="str">
        <x:v>문서</x:v>
      </x:c>
      <x:c r="F124" s="96" t="str">
        <x:v>김웅건</x:v>
      </x:c>
      <x:c r="G124" s="126" t="d">
        <x:v>2026-12-06T00:00:00.000Z</x:v>
      </x:c>
      <x:c r="H124" s="126" t="d">
        <x:v>2026-12-06T00:00:00.000Z</x:v>
      </x:c>
      <x:c r="I124" s="113" t="n">
        <x:f>IF(OR(G124="",H124=""),"",IF(H124&lt;G124,"일정확인",H124-G124+1))</x:f>
        <x:v>1</x:v>
      </x:c>
      <x:c r="J124" s="117"/>
      <x:c r="K124" s="96" t="str">
        <x:v>진행중</x:v>
      </x:c>
      <x:c r="L124" s="119" t="str">
        <x:v>화면설명서</x:v>
      </x:c>
      <x:c r="M124" s="119" t="str">
        <x:v>기능 설명만·실제 캡처 전</x:v>
      </x:c>
      <x:c r="N124" s="183"/>
      <x:c r="O124" s="184"/>
      <x:c r="P124" s="184"/>
      <x:c r="Q124" s="184"/>
      <x:c r="R124" s="184"/>
      <x:c r="S124" s="184"/>
      <x:c r="T124" s="184"/>
      <x:c r="U124" s="183"/>
      <x:c r="V124" s="184"/>
      <x:c r="W124" s="184"/>
      <x:c r="X124" s="184"/>
      <x:c r="Y124" s="184"/>
      <x:c r="Z124" s="184"/>
      <x:c r="AA124" s="184"/>
      <x:c r="AB124" s="184"/>
      <x:c r="AC124" s="184"/>
      <x:c r="AD124" s="184"/>
      <x:c r="AE124" s="184"/>
      <x:c r="AF124" s="184"/>
      <x:c r="AG124" s="184"/>
      <x:c r="AH124" s="184"/>
      <x:c r="AI124" s="184"/>
      <x:c r="AJ124" s="184"/>
      <x:c r="AK124" s="184"/>
      <x:c r="AL124" s="184"/>
      <x:c r="AM124" s="184"/>
      <x:c r="AN124" s="184"/>
      <x:c r="AO124" s="184"/>
      <x:c r="AP124" s="184"/>
      <x:c r="AQ124" s="184"/>
      <x:c r="AR124" s="184"/>
      <x:c r="AS124" s="184"/>
      <x:c r="AT124" s="184"/>
      <x:c r="AU124" s="184"/>
      <x:c r="AV124" s="184"/>
      <x:c r="AW124" s="184"/>
      <x:c r="AX124" s="184"/>
      <x:c r="AY124" s="184"/>
      <x:c r="AZ124" s="184"/>
      <x:c r="BA124" s="184"/>
      <x:c r="BB124" s="184"/>
      <x:c r="BC124" s="184"/>
      <x:c r="BD124" s="184"/>
      <x:c r="BE124" s="184"/>
      <x:c r="BF124" s="184"/>
      <x:c r="BG124" s="184"/>
      <x:c r="BH124" s="184"/>
      <x:c r="BI124" s="184"/>
      <x:c r="BJ124" s="184"/>
      <x:c r="BK124" s="184"/>
      <x:c r="BL124" s="184"/>
      <x:c r="BM124" s="184"/>
      <x:c r="BN124" s="184"/>
      <x:c r="BO124" s="184"/>
      <x:c r="BP124" s="184"/>
      <x:c r="BQ124" s="184"/>
      <x:c r="BR124" s="184"/>
      <x:c r="BS124" s="184"/>
      <x:c r="BT124" s="184"/>
      <x:c r="BU124" s="184"/>
      <x:c r="BV124" s="184"/>
      <x:c r="BW124" s="184"/>
      <x:c r="BX124" s="184"/>
      <x:c r="BY124" s="185"/>
    </x:row>
    <x:row r="125" ht="16.5" customHeight="1">
      <x:c r="A125"/>
      <x:c r="B125" s="165"/>
      <x:c r="C125" s="170"/>
      <x:c r="D125" s="111" t="str">
        <x:v>WBS·참고 자료·검증 결과를 최종 보고서에 반영</x:v>
      </x:c>
      <x:c r="E125" s="96" t="str">
        <x:v>문서</x:v>
      </x:c>
      <x:c r="F125" s="96" t="str">
        <x:v>김웅건</x:v>
      </x:c>
      <x:c r="G125" s="126" t="d">
        <x:v>2026-12-07T00:00:00.000Z</x:v>
      </x:c>
      <x:c r="H125" s="126" t="d">
        <x:v>2026-12-07T00:00:00.000Z</x:v>
      </x:c>
      <x:c r="I125" s="113" t="n">
        <x:f>IF(OR(G125="",H125=""),"",IF(H125&lt;G125,"일정확인",H125-G125+1))</x:f>
        <x:v>1</x:v>
      </x:c>
      <x:c r="J125" s="117"/>
      <x:c r="K125" s="96" t="str">
        <x:v>진행중</x:v>
      </x:c>
      <x:c r="L125" s="119" t="str">
        <x:v>최종보고서</x:v>
      </x:c>
      <x:c r="M125" s="119" t="str">
        <x:v>WBS 반영·최종 보고서 전</x:v>
      </x:c>
      <x:c r="N125" s="183"/>
      <x:c r="O125" s="184"/>
      <x:c r="P125" s="184"/>
      <x:c r="Q125" s="184"/>
      <x:c r="R125" s="184"/>
      <x:c r="S125" s="184"/>
      <x:c r="T125" s="184"/>
      <x:c r="U125" s="183"/>
      <x:c r="V125" s="184"/>
      <x:c r="W125" s="184"/>
      <x:c r="X125" s="184"/>
      <x:c r="Y125" s="184"/>
      <x:c r="Z125" s="184"/>
      <x:c r="AA125" s="184"/>
      <x:c r="AB125" s="184"/>
      <x:c r="AC125" s="184"/>
      <x:c r="AD125" s="184"/>
      <x:c r="AE125" s="184"/>
      <x:c r="AF125" s="184"/>
      <x:c r="AG125" s="184"/>
      <x:c r="AH125" s="184"/>
      <x:c r="AI125" s="184"/>
      <x:c r="AJ125" s="184"/>
      <x:c r="AK125" s="184"/>
      <x:c r="AL125" s="184"/>
      <x:c r="AM125" s="184"/>
      <x:c r="AN125" s="184"/>
      <x:c r="AO125" s="184"/>
      <x:c r="AP125" s="184"/>
      <x:c r="AQ125" s="184"/>
      <x:c r="AR125" s="184"/>
      <x:c r="AS125" s="184"/>
      <x:c r="AT125" s="184"/>
      <x:c r="AU125" s="184"/>
      <x:c r="AV125" s="184"/>
      <x:c r="AW125" s="184"/>
      <x:c r="AX125" s="184"/>
      <x:c r="AY125" s="184"/>
      <x:c r="AZ125" s="184"/>
      <x:c r="BA125" s="184"/>
      <x:c r="BB125" s="184"/>
      <x:c r="BC125" s="184"/>
      <x:c r="BD125" s="184"/>
      <x:c r="BE125" s="184"/>
      <x:c r="BF125" s="184"/>
      <x:c r="BG125" s="184"/>
      <x:c r="BH125" s="184"/>
      <x:c r="BI125" s="184"/>
      <x:c r="BJ125" s="184"/>
      <x:c r="BK125" s="184"/>
      <x:c r="BL125" s="184"/>
      <x:c r="BM125" s="184"/>
      <x:c r="BN125" s="184"/>
      <x:c r="BO125" s="184"/>
      <x:c r="BP125" s="184"/>
      <x:c r="BQ125" s="184"/>
      <x:c r="BR125" s="184"/>
      <x:c r="BS125" s="184"/>
      <x:c r="BT125" s="184"/>
      <x:c r="BU125" s="184"/>
      <x:c r="BV125" s="184"/>
      <x:c r="BW125" s="184"/>
      <x:c r="BX125" s="184"/>
      <x:c r="BY125" s="185"/>
    </x:row>
    <x:row r="126" ht="16.5" customHeight="1">
      <x:c r="A126"/>
      <x:c r="B126" s="165"/>
      <x:c r="C126" s="167" t="str">
        <x:v>발표 및 제출 준비</x:v>
      </x:c>
      <x:c r="D126" s="143" t="str">
        <x:v>정상·누락 상황을 포함한 시연 시나리오 작성</x:v>
      </x:c>
      <x:c r="E126" s="144" t="str">
        <x:v>시연</x:v>
      </x:c>
      <x:c r="F126" s="144" t="str">
        <x:v>김웅건</x:v>
      </x:c>
      <x:c r="G126" s="145" t="d">
        <x:v>2026-10-13T00:00:00.000Z</x:v>
      </x:c>
      <x:c r="H126" s="145" t="d">
        <x:v>2026-10-13T00:00:00.000Z</x:v>
      </x:c>
      <x:c r="I126" s="146" t="n">
        <x:f>IF(OR(G126="",H126=""),"",IF(H126&lt;G126,"일정확인",H126-G126+1))</x:f>
        <x:v>1</x:v>
      </x:c>
      <x:c r="J126" s="147" t="n">
        <x:v>1</x:v>
      </x:c>
      <x:c r="K126" s="144" t="str">
        <x:f>IF(ISNUMBER(J126),IF(J126=1,"완료",IF(J126=0,"미착수","진행중")),"")</x:f>
        <x:v>완료</x:v>
      </x:c>
      <x:c r="L126" s="148" t="str">
        <x:v>시연계획서</x:v>
      </x:c>
      <x:c r="M126" s="148" t="str">
        <x:v>설치·실행·시연 안내 작성</x:v>
      </x:c>
      <x:c r="N126" s="180"/>
      <x:c r="O126" s="181"/>
      <x:c r="P126" s="181"/>
      <x:c r="Q126" s="181"/>
      <x:c r="R126" s="181"/>
      <x:c r="S126" s="181"/>
      <x:c r="T126" s="181"/>
      <x:c r="U126" s="188"/>
      <x:c r="V126" s="181"/>
      <x:c r="W126" s="181"/>
      <x:c r="X126" s="181"/>
      <x:c r="Y126" s="181"/>
      <x:c r="Z126" s="181"/>
      <x:c r="AA126" s="181"/>
      <x:c r="AB126" s="181"/>
      <x:c r="AC126" s="181"/>
      <x:c r="AD126" s="181"/>
      <x:c r="AE126" s="181"/>
      <x:c r="AF126" s="181"/>
      <x:c r="AG126" s="181"/>
      <x:c r="AH126" s="181"/>
      <x:c r="AI126" s="181"/>
      <x:c r="AJ126" s="181"/>
      <x:c r="AK126" s="181"/>
      <x:c r="AL126" s="181"/>
      <x:c r="AM126" s="181"/>
      <x:c r="AN126" s="181"/>
      <x:c r="AO126" s="181"/>
      <x:c r="AP126" s="181"/>
      <x:c r="AQ126" s="181"/>
      <x:c r="AR126" s="181"/>
      <x:c r="AS126" s="181"/>
      <x:c r="AT126" s="181"/>
      <x:c r="AU126" s="181"/>
      <x:c r="AV126" s="181"/>
      <x:c r="AW126" s="181"/>
      <x:c r="AX126" s="181"/>
      <x:c r="AY126" s="181"/>
      <x:c r="AZ126" s="181"/>
      <x:c r="BA126" s="181"/>
      <x:c r="BB126" s="181"/>
      <x:c r="BC126" s="181"/>
      <x:c r="BD126" s="181"/>
      <x:c r="BE126" s="181"/>
      <x:c r="BF126" s="181"/>
      <x:c r="BG126" s="181"/>
      <x:c r="BH126" s="181"/>
      <x:c r="BI126" s="181"/>
      <x:c r="BJ126" s="181"/>
      <x:c r="BK126" s="181"/>
      <x:c r="BL126" s="181"/>
      <x:c r="BM126" s="181"/>
      <x:c r="BN126" s="181"/>
      <x:c r="BO126" s="181"/>
      <x:c r="BP126" s="181"/>
      <x:c r="BQ126" s="181"/>
      <x:c r="BR126" s="181"/>
      <x:c r="BS126" s="181"/>
      <x:c r="BT126" s="181"/>
      <x:c r="BU126" s="181"/>
      <x:c r="BV126" s="181"/>
      <x:c r="BW126" s="181"/>
      <x:c r="BX126" s="181"/>
      <x:c r="BY126" s="182"/>
    </x:row>
    <x:row r="127" ht="16.5" customHeight="1">
      <x:c r="A127"/>
      <x:c r="B127" s="165"/>
      <x:c r="C127" s="169"/>
      <x:c r="D127" s="111" t="str">
        <x:v>발표 자료와 최종 보고서 제출본 작성</x:v>
      </x:c>
      <x:c r="E127" s="96" t="str">
        <x:v>시연</x:v>
      </x:c>
      <x:c r="F127" s="96" t="str">
        <x:v>김웅건</x:v>
      </x:c>
      <x:c r="G127" s="126" t="d">
        <x:v>2026-12-07T00:00:00.000Z</x:v>
      </x:c>
      <x:c r="H127" s="126" t="d">
        <x:v>2026-12-07T00:00:00.000Z</x:v>
      </x:c>
      <x:c r="I127" s="113" t="n">
        <x:f>IF(OR(G127="",H127=""),"",IF(H127&lt;G127,"일정확인",H127-G127+1))</x:f>
        <x:v>1</x:v>
      </x:c>
      <x:c r="J127" s="117" t="n">
        <x:v>0</x:v>
      </x:c>
      <x:c r="K127" s="96" t="str">
        <x:f>IF(ISNUMBER(J127),IF(J127=1,"완료",IF(J127=0,"미착수","진행중")),"")</x:f>
        <x:v>미착수</x:v>
      </x:c>
      <x:c r="L127" s="119" t="str">
        <x:v>발표자료</x:v>
      </x:c>
      <x:c r="M127" s="119" t="str">
        <x:v>제출 필수</x:v>
      </x:c>
      <x:c r="N127" s="183"/>
      <x:c r="O127" s="184"/>
      <x:c r="P127" s="184"/>
      <x:c r="Q127" s="184"/>
      <x:c r="R127" s="184"/>
      <x:c r="S127" s="184"/>
      <x:c r="T127" s="184"/>
      <x:c r="U127" s="183"/>
      <x:c r="V127" s="184"/>
      <x:c r="W127" s="184"/>
      <x:c r="X127" s="184"/>
      <x:c r="Y127" s="184"/>
      <x:c r="Z127" s="184"/>
      <x:c r="AA127" s="184"/>
      <x:c r="AB127" s="184"/>
      <x:c r="AC127" s="184"/>
      <x:c r="AD127" s="184"/>
      <x:c r="AE127" s="184"/>
      <x:c r="AF127" s="184"/>
      <x:c r="AG127" s="184"/>
      <x:c r="AH127" s="184"/>
      <x:c r="AI127" s="184"/>
      <x:c r="AJ127" s="184"/>
      <x:c r="AK127" s="184"/>
      <x:c r="AL127" s="184"/>
      <x:c r="AM127" s="184"/>
      <x:c r="AN127" s="184"/>
      <x:c r="AO127" s="184"/>
      <x:c r="AP127" s="184"/>
      <x:c r="AQ127" s="184"/>
      <x:c r="AR127" s="184"/>
      <x:c r="AS127" s="184"/>
      <x:c r="AT127" s="184"/>
      <x:c r="AU127" s="184"/>
      <x:c r="AV127" s="184"/>
      <x:c r="AW127" s="184"/>
      <x:c r="AX127" s="184"/>
      <x:c r="AY127" s="184"/>
      <x:c r="AZ127" s="184"/>
      <x:c r="BA127" s="184"/>
      <x:c r="BB127" s="184"/>
      <x:c r="BC127" s="184"/>
      <x:c r="BD127" s="184"/>
      <x:c r="BE127" s="184"/>
      <x:c r="BF127" s="184"/>
      <x:c r="BG127" s="184"/>
      <x:c r="BH127" s="184"/>
      <x:c r="BI127" s="184"/>
      <x:c r="BJ127" s="184"/>
      <x:c r="BK127" s="184"/>
      <x:c r="BL127" s="184"/>
      <x:c r="BM127" s="184"/>
      <x:c r="BN127" s="184"/>
      <x:c r="BO127" s="184"/>
      <x:c r="BP127" s="184"/>
      <x:c r="BQ127" s="184"/>
      <x:c r="BR127" s="184"/>
      <x:c r="BS127" s="184"/>
      <x:c r="BT127" s="184"/>
      <x:c r="BU127" s="184"/>
      <x:c r="BV127" s="184"/>
      <x:c r="BW127" s="184"/>
      <x:c r="BX127" s="184"/>
      <x:c r="BY127" s="185"/>
    </x:row>
    <x:row r="128" ht="16.5" customHeight="1">
      <x:c r="A128"/>
      <x:c r="B128" s="165"/>
      <x:c r="C128" s="169"/>
      <x:c r="D128" s="111" t="str">
        <x:v>시연 리허설 및 제출 산출물 확인</x:v>
      </x:c>
      <x:c r="E128" s="96" t="str">
        <x:v>시연</x:v>
      </x:c>
      <x:c r="F128" s="96" t="str">
        <x:v>김웅건</x:v>
      </x:c>
      <x:c r="G128" s="126" t="d">
        <x:v>2026-12-07T00:00:00.000Z</x:v>
      </x:c>
      <x:c r="H128" s="126" t="d">
        <x:v>2026-12-08T00:00:00.000Z</x:v>
      </x:c>
      <x:c r="I128" s="113" t="n">
        <x:f>IF(OR(G128="",H128=""),"",IF(H128&lt;G128,"일정확인",H128-G128+1))</x:f>
        <x:v>2</x:v>
      </x:c>
      <x:c r="J128" s="117" t="n">
        <x:v>0</x:v>
      </x:c>
      <x:c r="K128" s="96" t="str">
        <x:f>IF(ISNUMBER(J128),IF(J128=1,"완료",IF(J128=0,"미착수","진행중")),"")</x:f>
        <x:v>미착수</x:v>
      </x:c>
      <x:c r="L128" s="119" t="str">
        <x:v>리허설기록</x:v>
      </x:c>
      <x:c r="M128" s="119" t="str">
        <x:v>제출 필수</x:v>
      </x:c>
      <x:c r="N128" s="183"/>
      <x:c r="O128" s="184"/>
      <x:c r="P128" s="184"/>
      <x:c r="Q128" s="184"/>
      <x:c r="R128" s="184"/>
      <x:c r="S128" s="184"/>
      <x:c r="T128" s="184"/>
      <x:c r="U128" s="183"/>
      <x:c r="V128" s="184"/>
      <x:c r="W128" s="184"/>
      <x:c r="X128" s="184"/>
      <x:c r="Y128" s="184"/>
      <x:c r="Z128" s="184"/>
      <x:c r="AA128" s="184"/>
      <x:c r="AB128" s="184"/>
      <x:c r="AC128" s="184"/>
      <x:c r="AD128" s="184"/>
      <x:c r="AE128" s="184"/>
      <x:c r="AF128" s="184"/>
      <x:c r="AG128" s="184"/>
      <x:c r="AH128" s="184"/>
      <x:c r="AI128" s="184"/>
      <x:c r="AJ128" s="184"/>
      <x:c r="AK128" s="184"/>
      <x:c r="AL128" s="184"/>
      <x:c r="AM128" s="184"/>
      <x:c r="AN128" s="184"/>
      <x:c r="AO128" s="184"/>
      <x:c r="AP128" s="184"/>
      <x:c r="AQ128" s="184"/>
      <x:c r="AR128" s="184"/>
      <x:c r="AS128" s="184"/>
      <x:c r="AT128" s="184"/>
      <x:c r="AU128" s="184"/>
      <x:c r="AV128" s="184"/>
      <x:c r="AW128" s="184"/>
      <x:c r="AX128" s="184"/>
      <x:c r="AY128" s="184"/>
      <x:c r="AZ128" s="184"/>
      <x:c r="BA128" s="184"/>
      <x:c r="BB128" s="184"/>
      <x:c r="BC128" s="184"/>
      <x:c r="BD128" s="184"/>
      <x:c r="BE128" s="184"/>
      <x:c r="BF128" s="184"/>
      <x:c r="BG128" s="184"/>
      <x:c r="BH128" s="184"/>
      <x:c r="BI128" s="184"/>
      <x:c r="BJ128" s="184"/>
      <x:c r="BK128" s="184"/>
      <x:c r="BL128" s="184"/>
      <x:c r="BM128" s="184"/>
      <x:c r="BN128" s="184"/>
      <x:c r="BO128" s="184"/>
      <x:c r="BP128" s="184"/>
      <x:c r="BQ128" s="184"/>
      <x:c r="BR128" s="184"/>
      <x:c r="BS128" s="184"/>
      <x:c r="BT128" s="184"/>
      <x:c r="BU128" s="184"/>
      <x:c r="BV128" s="184"/>
      <x:c r="BW128" s="184"/>
      <x:c r="BX128" s="184"/>
      <x:c r="BY128" s="185"/>
    </x:row>
    <x:row r="129" ht="16.5" customHeight="1">
      <x:c r="A129"/>
      <x:c r="B129" s="166"/>
      <x:c r="C129" s="170"/>
      <x:c r="D129" s="111" t="str">
        <x:v>프로젝트 최종 시연 및 산출물 제출</x:v>
      </x:c>
      <x:c r="E129" s="96" t="str">
        <x:v>시연</x:v>
      </x:c>
      <x:c r="F129" s="96" t="str">
        <x:v>김웅건</x:v>
      </x:c>
      <x:c r="G129" s="126" t="d">
        <x:v>2026-12-08T00:00:00.000Z</x:v>
      </x:c>
      <x:c r="H129" s="126" t="d">
        <x:v>2026-12-08T00:00:00.000Z</x:v>
      </x:c>
      <x:c r="I129" s="113" t="n">
        <x:f>IF(OR(G129="",H129=""),"",IF(H129&lt;G129,"일정확인",H129-G129+1))</x:f>
        <x:v>1</x:v>
      </x:c>
      <x:c r="J129" s="117" t="n">
        <x:v>0</x:v>
      </x:c>
      <x:c r="K129" s="96" t="str">
        <x:f>IF(ISNUMBER(J129),IF(J129=1,"완료",IF(J129=0,"미착수","진행중")),"")</x:f>
        <x:v>미착수</x:v>
      </x:c>
      <x:c r="L129" s="119" t="str">
        <x:v>최종제출본</x:v>
      </x:c>
      <x:c r="M129" s="119" t="str">
        <x:v>제출 필수</x:v>
      </x:c>
      <x:c r="N129" s="183"/>
      <x:c r="O129" s="184"/>
      <x:c r="P129" s="184"/>
      <x:c r="Q129" s="184"/>
      <x:c r="R129" s="184"/>
      <x:c r="S129" s="184"/>
      <x:c r="T129" s="184"/>
      <x:c r="U129" s="183"/>
      <x:c r="V129" s="184"/>
      <x:c r="W129" s="184"/>
      <x:c r="X129" s="184"/>
      <x:c r="Y129" s="184"/>
      <x:c r="Z129" s="184"/>
      <x:c r="AA129" s="184"/>
      <x:c r="AB129" s="184"/>
      <x:c r="AC129" s="184"/>
      <x:c r="AD129" s="184"/>
      <x:c r="AE129" s="184"/>
      <x:c r="AF129" s="184"/>
      <x:c r="AG129" s="184"/>
      <x:c r="AH129" s="184"/>
      <x:c r="AI129" s="184"/>
      <x:c r="AJ129" s="184"/>
      <x:c r="AK129" s="184"/>
      <x:c r="AL129" s="184"/>
      <x:c r="AM129" s="184"/>
      <x:c r="AN129" s="184"/>
      <x:c r="AO129" s="184"/>
      <x:c r="AP129" s="184"/>
      <x:c r="AQ129" s="184"/>
      <x:c r="AR129" s="184"/>
      <x:c r="AS129" s="184"/>
      <x:c r="AT129" s="184"/>
      <x:c r="AU129" s="184"/>
      <x:c r="AV129" s="184"/>
      <x:c r="AW129" s="184"/>
      <x:c r="AX129" s="184"/>
      <x:c r="AY129" s="184"/>
      <x:c r="AZ129" s="184"/>
      <x:c r="BA129" s="184"/>
      <x:c r="BB129" s="184"/>
      <x:c r="BC129" s="184"/>
      <x:c r="BD129" s="184"/>
      <x:c r="BE129" s="184"/>
      <x:c r="BF129" s="184"/>
      <x:c r="BG129" s="184"/>
      <x:c r="BH129" s="184"/>
      <x:c r="BI129" s="184"/>
      <x:c r="BJ129" s="184"/>
      <x:c r="BK129" s="184"/>
      <x:c r="BL129" s="184"/>
      <x:c r="BM129" s="184"/>
      <x:c r="BN129" s="184"/>
      <x:c r="BO129" s="184"/>
      <x:c r="BP129" s="184"/>
      <x:c r="BQ129" s="184"/>
      <x:c r="BR129" s="184"/>
      <x:c r="BS129" s="184"/>
      <x:c r="BT129" s="184"/>
      <x:c r="BU129" s="184"/>
      <x:c r="BV129" s="184"/>
      <x:c r="BW129" s="184"/>
      <x:c r="BX129" s="184"/>
      <x:c r="BY129" s="185"/>
    </x:row>
  </x:sheetData>
  <x:mergeCells>
    <x:mergeCell ref="A1:M1"/>
    <x:mergeCell ref="A2:M2"/>
    <x:mergeCell ref="B3:D3"/>
    <x:mergeCell ref="G3:H3"/>
    <x:mergeCell ref="B4:H4"/>
    <x:mergeCell ref="B6:B8"/>
    <x:mergeCell ref="C6:C8"/>
    <x:mergeCell ref="D6:D8"/>
    <x:mergeCell ref="E6:E8"/>
    <x:mergeCell ref="F6:F8"/>
    <x:mergeCell ref="G6:G8"/>
    <x:mergeCell ref="H6:H8"/>
    <x:mergeCell ref="I6:I8"/>
    <x:mergeCell ref="J6:J8"/>
    <x:mergeCell ref="K6:K8"/>
    <x:mergeCell ref="L6:L8"/>
    <x:mergeCell ref="M6:M8"/>
    <x:mergeCell ref="N6:AM6"/>
    <x:mergeCell ref="AN6:BQ6"/>
    <x:mergeCell ref="BR6:BY6"/>
    <x:mergeCell ref="N7:T7"/>
    <x:mergeCell ref="U7:AA7"/>
    <x:mergeCell ref="AB7:AH7"/>
    <x:mergeCell ref="AI7:AO7"/>
    <x:mergeCell ref="AP7:AV7"/>
    <x:mergeCell ref="AW7:BC7"/>
    <x:mergeCell ref="BD7:BJ7"/>
    <x:mergeCell ref="BK7:BQ7"/>
    <x:mergeCell ref="BR7:BX7"/>
    <x:mergeCell ref="J3:BY3"/>
    <x:mergeCell ref="J4:BY4"/>
    <x:mergeCell ref="B9:B16"/>
    <x:mergeCell ref="B17:B26"/>
    <x:mergeCell ref="B27:B57"/>
    <x:mergeCell ref="B58:B72"/>
    <x:mergeCell ref="B73:B93"/>
    <x:mergeCell ref="B94:B100"/>
    <x:mergeCell ref="B101:B119"/>
    <x:mergeCell ref="B120:B129"/>
    <x:mergeCell ref="C10:C13"/>
    <x:mergeCell ref="C14:C16"/>
    <x:mergeCell ref="C17:C19"/>
    <x:mergeCell ref="C20:C22"/>
    <x:mergeCell ref="C23:C26"/>
    <x:mergeCell ref="C27:C30"/>
    <x:mergeCell ref="C31:C33"/>
    <x:mergeCell ref="C34:C38"/>
    <x:mergeCell ref="C39:C44"/>
    <x:mergeCell ref="C45:C47"/>
    <x:mergeCell ref="C48:C50"/>
    <x:mergeCell ref="C51:C54"/>
    <x:mergeCell ref="C55:C57"/>
    <x:mergeCell ref="C58:C60"/>
    <x:mergeCell ref="C61:C64"/>
    <x:mergeCell ref="C65:C68"/>
    <x:mergeCell ref="C69:C72"/>
    <x:mergeCell ref="C73:C75"/>
    <x:mergeCell ref="C76:C80"/>
    <x:mergeCell ref="C81:C86"/>
    <x:mergeCell ref="C87:C90"/>
    <x:mergeCell ref="C91:C93"/>
    <x:mergeCell ref="C94:C96"/>
    <x:mergeCell ref="C97:C100"/>
    <x:mergeCell ref="C101:C107"/>
    <x:mergeCell ref="C108:C111"/>
    <x:mergeCell ref="C112:C116"/>
    <x:mergeCell ref="C117:C119"/>
    <x:mergeCell ref="C120:C122"/>
    <x:mergeCell ref="C123:C125"/>
    <x:mergeCell ref="C126:C129"/>
  </x:mergeCells>
  <x:dataValidations count="2">
    <x:dataValidation type="list" sqref="F9:F129">
      <x:formula1>"김웅건,조윤기,공통"</x:formula1>
    </x:dataValidation>
    <x:dataValidation type="decimal" operator="between" sqref="J9:J129">
      <x:formula1>0</x:formula1>
      <x:formula2>1</x:formula2>
    </x:dataValidation>
  </x:dataValidations>
  <x:pageMargins left="0.7" right="0.7" top="0.75" bottom="0.75" header="0.3" footer="0.3"/>
</x:worksheet>
</file>